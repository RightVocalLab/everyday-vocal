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41b545f7789de00/SLJ관련/보컬랩 관련/files/출시준비/"/>
    </mc:Choice>
  </mc:AlternateContent>
  <xr:revisionPtr revIDLastSave="22" documentId="11_21FEF50DF337D2805A1D99EE47C94C4D5DD75503" xr6:coauthVersionLast="47" xr6:coauthVersionMax="47" xr10:uidLastSave="{1E1D43C0-4EE7-47B3-93A7-CE922389CBD8}"/>
  <bookViews>
    <workbookView xWindow="-110" yWindow="-110" windowWidth="38620" windowHeight="21220" tabRatio="500" activeTab="1" xr2:uid="{00000000-000D-0000-FFFF-FFFF00000000}"/>
  </bookViews>
  <sheets>
    <sheet name="작성가이드" sheetId="1" r:id="rId1"/>
    <sheet name="스킬트리" sheetId="2" r:id="rId2"/>
    <sheet name="계열정의" sheetId="3" r:id="rId3"/>
    <sheet name="참조_훈련목록" sheetId="4" r:id="rId4"/>
    <sheet name="참조_스케일목록" sheetId="5" r:id="rId5"/>
    <sheet name="훈련내용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2" i="2" l="1"/>
  <c r="H85" i="2"/>
  <c r="H82" i="2"/>
  <c r="H80" i="2"/>
  <c r="H77" i="2"/>
  <c r="H75" i="2"/>
  <c r="H28" i="2"/>
  <c r="H23" i="2"/>
  <c r="H18" i="2"/>
  <c r="H13" i="2"/>
  <c r="H8" i="2"/>
  <c r="H87" i="2"/>
  <c r="H89" i="2"/>
  <c r="H90" i="2"/>
  <c r="H91" i="2"/>
  <c r="H93" i="2"/>
  <c r="H94" i="2"/>
  <c r="H95" i="2"/>
  <c r="H96" i="2"/>
  <c r="H97" i="2"/>
  <c r="R170" i="2"/>
  <c r="H170" i="2"/>
  <c r="R169" i="2"/>
  <c r="H169" i="2"/>
  <c r="R168" i="2"/>
  <c r="H168" i="2"/>
  <c r="R167" i="2"/>
  <c r="H167" i="2"/>
  <c r="R166" i="2"/>
  <c r="H166" i="2"/>
  <c r="R165" i="2"/>
  <c r="H165" i="2"/>
  <c r="R164" i="2"/>
  <c r="H164" i="2"/>
  <c r="R163" i="2"/>
  <c r="H163" i="2"/>
  <c r="R162" i="2"/>
  <c r="H162" i="2"/>
  <c r="R161" i="2"/>
  <c r="H161" i="2"/>
  <c r="R160" i="2"/>
  <c r="H160" i="2"/>
  <c r="R159" i="2"/>
  <c r="H159" i="2"/>
  <c r="R158" i="2"/>
  <c r="H158" i="2"/>
  <c r="R157" i="2"/>
  <c r="H157" i="2"/>
  <c r="R156" i="2"/>
  <c r="H156" i="2"/>
  <c r="R155" i="2"/>
  <c r="H155" i="2"/>
  <c r="R154" i="2"/>
  <c r="H154" i="2"/>
  <c r="R153" i="2"/>
  <c r="H153" i="2"/>
  <c r="R152" i="2"/>
  <c r="H152" i="2"/>
  <c r="R151" i="2"/>
  <c r="H151" i="2"/>
  <c r="R150" i="2"/>
  <c r="H150" i="2"/>
  <c r="R149" i="2"/>
  <c r="H149" i="2"/>
  <c r="R148" i="2"/>
  <c r="H148" i="2"/>
  <c r="R147" i="2"/>
  <c r="H147" i="2"/>
  <c r="R146" i="2"/>
  <c r="H146" i="2"/>
  <c r="R145" i="2"/>
  <c r="H145" i="2"/>
  <c r="R144" i="2"/>
  <c r="H144" i="2"/>
  <c r="R143" i="2"/>
  <c r="H143" i="2"/>
  <c r="R142" i="2"/>
  <c r="H142" i="2"/>
  <c r="R141" i="2"/>
  <c r="H141" i="2"/>
  <c r="R140" i="2"/>
  <c r="H140" i="2"/>
  <c r="R139" i="2"/>
  <c r="H139" i="2"/>
  <c r="R138" i="2"/>
  <c r="H138" i="2"/>
  <c r="R137" i="2"/>
  <c r="H137" i="2"/>
  <c r="R136" i="2"/>
  <c r="H136" i="2"/>
  <c r="R135" i="2"/>
  <c r="H135" i="2"/>
  <c r="R134" i="2"/>
  <c r="H134" i="2"/>
  <c r="R133" i="2"/>
  <c r="H133" i="2"/>
  <c r="R132" i="2"/>
  <c r="H132" i="2"/>
  <c r="R131" i="2"/>
  <c r="H131" i="2"/>
  <c r="R130" i="2"/>
  <c r="H130" i="2"/>
  <c r="R129" i="2"/>
  <c r="H129" i="2"/>
  <c r="R128" i="2"/>
  <c r="H128" i="2"/>
  <c r="R127" i="2"/>
  <c r="H127" i="2"/>
  <c r="R126" i="2"/>
  <c r="H126" i="2"/>
  <c r="R125" i="2"/>
  <c r="H125" i="2"/>
  <c r="R124" i="2"/>
  <c r="H124" i="2"/>
  <c r="R123" i="2"/>
  <c r="H123" i="2"/>
  <c r="R122" i="2"/>
  <c r="H122" i="2"/>
  <c r="R121" i="2"/>
  <c r="H121" i="2"/>
  <c r="R120" i="2"/>
  <c r="H120" i="2"/>
  <c r="R119" i="2"/>
  <c r="H119" i="2"/>
  <c r="R118" i="2"/>
  <c r="H118" i="2"/>
  <c r="R117" i="2"/>
  <c r="H117" i="2"/>
  <c r="R116" i="2"/>
  <c r="H116" i="2"/>
  <c r="R115" i="2"/>
  <c r="H115" i="2"/>
  <c r="R114" i="2"/>
  <c r="H114" i="2"/>
  <c r="R113" i="2"/>
  <c r="H113" i="2"/>
  <c r="R112" i="2"/>
  <c r="H112" i="2"/>
  <c r="R111" i="2"/>
  <c r="H111" i="2"/>
  <c r="R110" i="2"/>
  <c r="H110" i="2"/>
  <c r="R109" i="2"/>
  <c r="H109" i="2"/>
  <c r="R108" i="2"/>
  <c r="H108" i="2"/>
  <c r="R107" i="2"/>
  <c r="H107" i="2"/>
  <c r="R106" i="2"/>
  <c r="H106" i="2"/>
  <c r="R105" i="2"/>
  <c r="H105" i="2"/>
  <c r="R104" i="2"/>
  <c r="H104" i="2"/>
  <c r="R103" i="2"/>
  <c r="H103" i="2"/>
  <c r="R102" i="2"/>
  <c r="H102" i="2"/>
  <c r="R101" i="2"/>
  <c r="H101" i="2"/>
  <c r="R100" i="2"/>
  <c r="H100" i="2"/>
  <c r="R99" i="2"/>
  <c r="H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H86" i="2"/>
  <c r="R85" i="2"/>
  <c r="R84" i="2"/>
  <c r="R83" i="2"/>
  <c r="R82" i="2"/>
  <c r="R81" i="2"/>
  <c r="H81" i="2"/>
  <c r="R80" i="2"/>
  <c r="R79" i="2"/>
  <c r="R78" i="2"/>
  <c r="H78" i="2"/>
  <c r="R77" i="2"/>
  <c r="R76" i="2"/>
  <c r="H76" i="2"/>
  <c r="R75" i="2"/>
  <c r="R74" i="2"/>
  <c r="R73" i="2"/>
  <c r="H73" i="2"/>
  <c r="R72" i="2"/>
  <c r="H72" i="2"/>
  <c r="R71" i="2"/>
  <c r="H71" i="2"/>
  <c r="R70" i="2"/>
  <c r="H70" i="2"/>
  <c r="R69" i="2"/>
  <c r="H69" i="2"/>
  <c r="R68" i="2"/>
  <c r="H68" i="2"/>
  <c r="R67" i="2"/>
  <c r="H67" i="2"/>
  <c r="R66" i="2"/>
  <c r="H66" i="2"/>
  <c r="R65" i="2"/>
  <c r="H65" i="2"/>
  <c r="R64" i="2"/>
  <c r="H64" i="2"/>
  <c r="R63" i="2"/>
  <c r="H63" i="2"/>
  <c r="R62" i="2"/>
  <c r="H62" i="2"/>
  <c r="R61" i="2"/>
  <c r="H61" i="2"/>
  <c r="R60" i="2"/>
  <c r="H60" i="2"/>
  <c r="R59" i="2"/>
  <c r="H59" i="2"/>
  <c r="R58" i="2"/>
  <c r="H58" i="2"/>
  <c r="R57" i="2"/>
  <c r="H57" i="2"/>
  <c r="R56" i="2"/>
  <c r="H56" i="2"/>
  <c r="R55" i="2"/>
  <c r="H55" i="2"/>
  <c r="R54" i="2"/>
  <c r="H54" i="2"/>
  <c r="R53" i="2"/>
  <c r="H53" i="2"/>
  <c r="R52" i="2"/>
  <c r="H52" i="2"/>
  <c r="R51" i="2"/>
  <c r="H51" i="2"/>
  <c r="R50" i="2"/>
  <c r="H50" i="2"/>
  <c r="R49" i="2"/>
  <c r="H49" i="2"/>
  <c r="R48" i="2"/>
  <c r="H48" i="2"/>
  <c r="R47" i="2"/>
  <c r="H47" i="2"/>
  <c r="R46" i="2"/>
  <c r="H46" i="2"/>
  <c r="R45" i="2"/>
  <c r="H45" i="2"/>
  <c r="R44" i="2"/>
  <c r="H44" i="2"/>
  <c r="R43" i="2"/>
  <c r="H43" i="2"/>
  <c r="R42" i="2"/>
  <c r="H42" i="2"/>
  <c r="R41" i="2"/>
  <c r="H41" i="2"/>
  <c r="R40" i="2"/>
  <c r="H40" i="2"/>
  <c r="R39" i="2"/>
  <c r="H39" i="2"/>
  <c r="R38" i="2"/>
  <c r="H38" i="2"/>
  <c r="R37" i="2"/>
  <c r="H37" i="2"/>
  <c r="R36" i="2"/>
  <c r="H36" i="2"/>
  <c r="R35" i="2"/>
  <c r="H35" i="2"/>
  <c r="R34" i="2"/>
  <c r="H34" i="2"/>
  <c r="R33" i="2"/>
  <c r="H33" i="2"/>
  <c r="R32" i="2"/>
  <c r="H32" i="2"/>
  <c r="R31" i="2"/>
  <c r="H31" i="2"/>
  <c r="R30" i="2"/>
  <c r="H30" i="2"/>
  <c r="R29" i="2"/>
  <c r="H29" i="2"/>
  <c r="R28" i="2"/>
  <c r="R27" i="2"/>
  <c r="H27" i="2"/>
  <c r="R26" i="2"/>
  <c r="H26" i="2"/>
  <c r="R25" i="2"/>
  <c r="R24" i="2"/>
  <c r="H24" i="2"/>
  <c r="R23" i="2"/>
  <c r="R22" i="2"/>
  <c r="H22" i="2"/>
  <c r="R21" i="2"/>
  <c r="H21" i="2"/>
  <c r="R20" i="2"/>
  <c r="R19" i="2"/>
  <c r="H19" i="2"/>
  <c r="R18" i="2"/>
  <c r="R17" i="2"/>
  <c r="H17" i="2"/>
  <c r="R16" i="2"/>
  <c r="H16" i="2"/>
  <c r="R15" i="2"/>
  <c r="R14" i="2"/>
  <c r="H14" i="2"/>
  <c r="R13" i="2"/>
  <c r="R12" i="2"/>
  <c r="H12" i="2"/>
  <c r="R11" i="2"/>
  <c r="H11" i="2"/>
  <c r="R10" i="2"/>
  <c r="H10" i="2"/>
  <c r="R9" i="2"/>
  <c r="H9" i="2"/>
  <c r="R8" i="2"/>
  <c r="R7" i="2"/>
  <c r="H7" i="2"/>
  <c r="R6" i="2"/>
  <c r="H6" i="2"/>
  <c r="R5" i="2"/>
  <c r="R4" i="2"/>
  <c r="H4" i="2"/>
  <c r="R3" i="2"/>
  <c r="H3" i="2"/>
</calcChain>
</file>

<file path=xl/sharedStrings.xml><?xml version="1.0" encoding="utf-8"?>
<sst xmlns="http://schemas.openxmlformats.org/spreadsheetml/2006/main" count="1320" uniqueCount="444">
  <si>
    <t>바른발성연구소 · 훈련 스킬 트리 입력 시트</t>
  </si>
  <si>
    <t>■ 어디에 적나요</t>
  </si>
  <si>
    <r>
      <rPr>
        <sz val="10.5"/>
        <rFont val="맑은 고딕"/>
        <family val="3"/>
        <charset val="129"/>
      </rPr>
      <t>[</t>
    </r>
    <r>
      <rPr>
        <sz val="10.5"/>
        <rFont val="Noto Sans CJK SC"/>
        <family val="2"/>
      </rPr>
      <t>스킬트리</t>
    </r>
    <r>
      <rPr>
        <sz val="10.5"/>
        <rFont val="맑은 고딕"/>
        <family val="3"/>
        <charset val="129"/>
      </rPr>
      <t xml:space="preserve">] </t>
    </r>
    <r>
      <rPr>
        <sz val="10.5"/>
        <rFont val="Noto Sans CJK SC"/>
        <family val="2"/>
      </rPr>
      <t>시트에만 적으시면 됩니다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 xml:space="preserve">노란색 칸 </t>
    </r>
    <r>
      <rPr>
        <sz val="10.5"/>
        <rFont val="맑은 고딕"/>
        <family val="3"/>
        <charset val="129"/>
      </rPr>
      <t xml:space="preserve">= </t>
    </r>
    <r>
      <rPr>
        <sz val="10.5"/>
        <rFont val="Noto Sans CJK SC"/>
        <family val="2"/>
      </rPr>
      <t xml:space="preserve">직접 입력 </t>
    </r>
    <r>
      <rPr>
        <sz val="10.5"/>
        <rFont val="맑은 고딕"/>
        <family val="3"/>
        <charset val="129"/>
      </rPr>
      <t xml:space="preserve">/ </t>
    </r>
    <r>
      <rPr>
        <sz val="10.5"/>
        <rFont val="Noto Sans CJK SC"/>
        <family val="2"/>
      </rPr>
      <t xml:space="preserve">회색 칸 </t>
    </r>
    <r>
      <rPr>
        <sz val="10.5"/>
        <rFont val="맑은 고딕"/>
        <family val="3"/>
        <charset val="129"/>
      </rPr>
      <t xml:space="preserve">= </t>
    </r>
    <r>
      <rPr>
        <sz val="10.5"/>
        <rFont val="Noto Sans CJK SC"/>
        <family val="2"/>
      </rPr>
      <t xml:space="preserve">자동 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건드리지 마세요</t>
    </r>
    <r>
      <rPr>
        <sz val="10.5"/>
        <rFont val="맑은 고딕"/>
        <family val="3"/>
        <charset val="129"/>
      </rPr>
      <t>)</t>
    </r>
  </si>
  <si>
    <r>
      <rPr>
        <sz val="10.5"/>
        <rFont val="맑은 고딕"/>
        <family val="3"/>
        <charset val="129"/>
      </rPr>
      <t>[</t>
    </r>
    <r>
      <rPr>
        <sz val="10.5"/>
        <rFont val="Noto Sans CJK SC"/>
        <family val="2"/>
      </rPr>
      <t>계열정의</t>
    </r>
    <r>
      <rPr>
        <sz val="10.5"/>
        <rFont val="맑은 고딕"/>
        <family val="3"/>
        <charset val="129"/>
      </rPr>
      <t xml:space="preserve">] </t>
    </r>
    <r>
      <rPr>
        <sz val="10.5"/>
        <rFont val="Noto Sans CJK SC"/>
        <family val="2"/>
      </rPr>
      <t>계열 이름</t>
    </r>
    <r>
      <rPr>
        <sz val="10.5"/>
        <rFont val="맑은 고딕"/>
        <family val="3"/>
        <charset val="129"/>
      </rPr>
      <t>·</t>
    </r>
    <r>
      <rPr>
        <sz val="10.5"/>
        <rFont val="Noto Sans CJK SC"/>
        <family val="2"/>
      </rPr>
      <t>색</t>
    </r>
    <r>
      <rPr>
        <sz val="10.5"/>
        <rFont val="맑은 고딕"/>
        <family val="3"/>
        <charset val="129"/>
      </rPr>
      <t>·</t>
    </r>
    <r>
      <rPr>
        <sz val="10.5"/>
        <rFont val="Noto Sans CJK SC"/>
        <family val="2"/>
      </rPr>
      <t>해금 조건</t>
    </r>
    <r>
      <rPr>
        <sz val="10.5"/>
        <rFont val="맑은 고딕"/>
        <family val="3"/>
        <charset val="129"/>
      </rPr>
      <t>·</t>
    </r>
    <r>
      <rPr>
        <sz val="10.5"/>
        <rFont val="Noto Sans CJK SC"/>
        <family val="2"/>
      </rPr>
      <t>소개 문구</t>
    </r>
    <r>
      <rPr>
        <sz val="10.5"/>
        <rFont val="맑은 고딕"/>
        <family val="3"/>
        <charset val="129"/>
      </rPr>
      <t>.</t>
    </r>
  </si>
  <si>
    <r>
      <rPr>
        <sz val="10.5"/>
        <rFont val="맑은 고딕"/>
        <family val="3"/>
        <charset val="129"/>
      </rPr>
      <t>[</t>
    </r>
    <r>
      <rPr>
        <sz val="10.5"/>
        <rFont val="Noto Sans CJK SC"/>
        <family val="2"/>
      </rPr>
      <t>참조</t>
    </r>
    <r>
      <rPr>
        <sz val="10.5"/>
        <rFont val="맑은 고딕"/>
        <family val="3"/>
        <charset val="129"/>
      </rPr>
      <t>_</t>
    </r>
    <r>
      <rPr>
        <sz val="10.5"/>
        <rFont val="Noto Sans CJK SC"/>
        <family val="2"/>
      </rPr>
      <t>훈련목록</t>
    </r>
    <r>
      <rPr>
        <sz val="10.5"/>
        <rFont val="맑은 고딕"/>
        <family val="3"/>
        <charset val="129"/>
      </rPr>
      <t xml:space="preserve">] </t>
    </r>
    <r>
      <rPr>
        <sz val="10.5"/>
        <rFont val="Noto Sans CJK SC"/>
        <family val="2"/>
      </rPr>
      <t>훈련명 모음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스킬명 드롭다운이 여기서 나옵니다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새 훈련은 여기에 먼저 추가</t>
    </r>
    <r>
      <rPr>
        <sz val="10.5"/>
        <rFont val="맑은 고딕"/>
        <family val="3"/>
        <charset val="129"/>
      </rPr>
      <t>.</t>
    </r>
  </si>
  <si>
    <r>
      <rPr>
        <sz val="10.5"/>
        <rFont val="맑은 고딕"/>
        <family val="3"/>
        <charset val="129"/>
      </rPr>
      <t>[</t>
    </r>
    <r>
      <rPr>
        <sz val="10.5"/>
        <rFont val="Noto Sans CJK SC"/>
        <family val="2"/>
      </rPr>
      <t>참조</t>
    </r>
    <r>
      <rPr>
        <sz val="10.5"/>
        <rFont val="맑은 고딕"/>
        <family val="3"/>
        <charset val="129"/>
      </rPr>
      <t>_</t>
    </r>
    <r>
      <rPr>
        <sz val="10.5"/>
        <rFont val="Noto Sans CJK SC"/>
        <family val="2"/>
      </rPr>
      <t>스케일목록</t>
    </r>
    <r>
      <rPr>
        <sz val="10.5"/>
        <rFont val="맑은 고딕"/>
        <family val="3"/>
        <charset val="129"/>
      </rPr>
      <t xml:space="preserve">] </t>
    </r>
    <r>
      <rPr>
        <sz val="10.5"/>
        <rFont val="Noto Sans CJK SC"/>
        <family val="2"/>
      </rPr>
      <t>앱에 들어있는 스케일 목록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보기 전용</t>
    </r>
    <r>
      <rPr>
        <sz val="10.5"/>
        <rFont val="맑은 고딕"/>
        <family val="3"/>
        <charset val="129"/>
      </rPr>
      <t>.</t>
    </r>
  </si>
  <si>
    <t>■ 구조</t>
  </si>
  <si>
    <t>계열 = 판 하나 (저음 / 중음 / 고음 / 성대결절 케어).</t>
  </si>
  <si>
    <t>층 = 해금 단계. 위에서 아래로 내려갑니다.</t>
  </si>
  <si>
    <t>자리 = 그 층에서 가로 위치. 1 ~ 5 사이, 0.5 단위 (1, 1.5, 2, 2.5 … 5).</t>
  </si>
  <si>
    <t xml:space="preserve">   윗층 두 갈래가 아래에서 하나로 모일 때 가운데(1.5 등)에 두면 선이 예쁘게 모입니다.</t>
  </si>
  <si>
    <t>같은 계열·같은 층·같은 자리는 하나만 존재할 수 있습니다.</t>
  </si>
  <si>
    <t>■ 완료 판정 — 최소 횟수 방식</t>
  </si>
  <si>
    <t>스킬 트리에는 훈련일수가 없습니다. 날짜가 아니라 "쌓는" 개념이니까요.</t>
  </si>
  <si>
    <t>대신 최소 연습 횟수를 채워야 완료 버튼이 열립니다.</t>
  </si>
  <si>
    <t xml:space="preserve">   완료최소횟수 = 완료 버튼이 열리기까지 필요한 연습 횟수. 비우면 기본 5회.</t>
  </si>
  <si>
    <t xml:space="preserve">   반복 = 한 번 연습할 때 권장 횟수 (예: 10). 비워도 됩니다.</t>
  </si>
  <si>
    <t>앱 안내 문구 — "정해진 기간은 없습니다. 내 소리가 올바르게 날 때까지 반복하고 다음 스킬로 넘어가세요."</t>
  </si>
  <si>
    <t xml:space="preserve">   쉬운 스킬은 3, 어려운 스킬은 8~10처럼 난이도에 따라 다르게 주셔도 됩니다.</t>
  </si>
  <si>
    <t>■ 잠금 규칙 3가지</t>
  </si>
  <si>
    <r>
      <rPr>
        <sz val="10.5"/>
        <rFont val="맑은 고딕"/>
        <family val="3"/>
        <charset val="129"/>
      </rPr>
      <t xml:space="preserve">1) </t>
    </r>
    <r>
      <rPr>
        <sz val="10.5"/>
        <rFont val="Noto Sans CJK SC"/>
        <family val="2"/>
      </rPr>
      <t>호흡해금일차 — 호흡 훈련하기</t>
    </r>
    <r>
      <rPr>
        <sz val="10.5"/>
        <rFont val="맑은 고딕"/>
        <family val="3"/>
        <charset val="129"/>
      </rPr>
      <t xml:space="preserve">(c_1) </t>
    </r>
    <r>
      <rPr>
        <sz val="10.5"/>
        <rFont val="Noto Sans CJK SC"/>
        <family val="2"/>
      </rPr>
      <t>며칠차부터 열리는지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 xml:space="preserve">각 계열 </t>
    </r>
    <r>
      <rPr>
        <sz val="10.5"/>
        <rFont val="맑은 고딕"/>
        <family val="3"/>
        <charset val="129"/>
      </rPr>
      <t>1</t>
    </r>
    <r>
      <rPr>
        <sz val="10.5"/>
        <rFont val="Noto Sans CJK SC"/>
        <family val="2"/>
      </rPr>
      <t>층에만</t>
    </r>
    <r>
      <rPr>
        <sz val="10.5"/>
        <rFont val="맑은 고딕"/>
        <family val="3"/>
        <charset val="129"/>
      </rPr>
      <t>.</t>
    </r>
  </si>
  <si>
    <r>
      <rPr>
        <sz val="10.5"/>
        <rFont val="맑은 고딕"/>
        <family val="3"/>
        <charset val="129"/>
      </rPr>
      <t xml:space="preserve">2) </t>
    </r>
    <r>
      <rPr>
        <sz val="10.5"/>
        <rFont val="Noto Sans CJK SC"/>
        <family val="2"/>
      </rPr>
      <t>선행스킬</t>
    </r>
    <r>
      <rPr>
        <sz val="10.5"/>
        <rFont val="맑은 고딕"/>
        <family val="3"/>
        <charset val="129"/>
      </rPr>
      <t xml:space="preserve">1 / </t>
    </r>
    <r>
      <rPr>
        <sz val="10.5"/>
        <rFont val="Noto Sans CJK SC"/>
        <family val="2"/>
      </rPr>
      <t>선행스킬</t>
    </r>
    <r>
      <rPr>
        <sz val="10.5"/>
        <rFont val="맑은 고딕"/>
        <family val="3"/>
        <charset val="129"/>
      </rPr>
      <t xml:space="preserve">2 — </t>
    </r>
    <r>
      <rPr>
        <sz val="10.5"/>
        <rFont val="Noto Sans CJK SC"/>
        <family val="2"/>
      </rPr>
      <t>같은 계열 안에서 먼저 끝내야 하는 스킬</t>
    </r>
    <r>
      <rPr>
        <sz val="10.5"/>
        <rFont val="맑은 고딕"/>
        <family val="3"/>
        <charset val="129"/>
      </rPr>
      <t xml:space="preserve">ID. </t>
    </r>
    <r>
      <rPr>
        <sz val="10.5"/>
        <rFont val="Noto Sans CJK SC"/>
        <family val="2"/>
      </rPr>
      <t>둘 다 적으면 둘 다 완료해야 열립니다</t>
    </r>
    <r>
      <rPr>
        <sz val="10.5"/>
        <rFont val="맑은 고딕"/>
        <family val="3"/>
        <charset val="129"/>
      </rPr>
      <t>.</t>
    </r>
  </si>
  <si>
    <r>
      <rPr>
        <sz val="10.5"/>
        <rFont val="맑은 고딕"/>
        <family val="3"/>
        <charset val="129"/>
      </rPr>
      <t xml:space="preserve">3) </t>
    </r>
    <r>
      <rPr>
        <sz val="10.5"/>
        <rFont val="Noto Sans CJK SC"/>
        <family val="2"/>
      </rPr>
      <t>타계열선행 — 다른 계열 스킬을 강제로 요구할 때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앱에서 주황 화살표 배지</t>
    </r>
    <r>
      <rPr>
        <sz val="10.5"/>
        <rFont val="맑은 고딕"/>
        <family val="3"/>
        <charset val="129"/>
      </rPr>
      <t>.</t>
    </r>
  </si>
  <si>
    <t>■ 검사 칸이 알려주는 것</t>
  </si>
  <si>
    <t>자리는 1~5 (0.5단위) / 같은 자리 중복 / 스킬ID 비었음 / 스킬ID 중복 / 선행스킬 없음 / 타계열선행 없음</t>
  </si>
  <si>
    <t>스킬ID가 없으면 선행조건에서 참조할 수 없으니, 모든 스킬에 ID를 붙여주세요.</t>
  </si>
  <si>
    <t>■ 아직 안 정한 훈련은</t>
  </si>
  <si>
    <t>상태 칸을 "준비중" 으로. 앱에는 점선 회색 "준비 중" 칸으로 깔립니다.</t>
  </si>
  <si>
    <t>■ 주의</t>
  </si>
  <si>
    <t>스킬ID는 영문+숫자로 겹치지 않게 (예: L1, M3, H4, C2).</t>
  </si>
  <si>
    <t>훈련 설명 본문은 이 시트에 넣지 않습니다. 배치 확정 후 따로 정리합니다.</t>
  </si>
  <si>
    <t>■ 남녀 스케일이 다른 경우</t>
  </si>
  <si>
    <t>흉성 계열은 스케일이 남녀로 갈립니다 (예: 3D-A 흉성(여자) / 3D-B 흉성(남)).</t>
  </si>
  <si>
    <t>스킬은 하나만 만들고, 스케일ID만 두 칸에 나눠 적으세요.</t>
  </si>
  <si>
    <t xml:space="preserve">   스케일ID(공용/여) — 여성용 또는 남녀 공용 스케일</t>
  </si>
  <si>
    <t xml:space="preserve">   스케일ID(남) — 남성용이 따로 있을 때만. 없으면 비워두세요(공용 처리).</t>
  </si>
  <si>
    <t>앱 선택 순서 — ①음역대 측정(PVR) 결과 ②가입 시 성별 ③둘 다 없으면 첫 진입 때 한 번 질문</t>
  </si>
  <si>
    <t>사용자가 훈련 화면에서 직접 바꿀 수도 있습니다.</t>
  </si>
  <si>
    <t>남녀가 갈리는 스케일 — 3D-A/3D-B, 5D-A/5D-J, 5H-A/5H-I, 5DN-A/5DN-H, 5DUD-A/5DUD-H, 5DNH-A/5DNH-H</t>
  </si>
  <si>
    <t>■ 선행조건 자동 규칙 — 같은 열은 안 적어도 됩니다</t>
  </si>
  <si>
    <r>
      <rPr>
        <sz val="10.5"/>
        <rFont val="Noto Sans CJK SC"/>
        <family val="2"/>
      </rPr>
      <t>같은 계열</t>
    </r>
    <r>
      <rPr>
        <sz val="10.5"/>
        <rFont val="맑은 고딕"/>
        <family val="3"/>
        <charset val="129"/>
      </rPr>
      <t>·</t>
    </r>
    <r>
      <rPr>
        <sz val="10.5"/>
        <rFont val="Noto Sans CJK SC"/>
        <family val="2"/>
      </rPr>
      <t>같은 자리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열</t>
    </r>
    <r>
      <rPr>
        <sz val="10.5"/>
        <rFont val="맑은 고딕"/>
        <family val="3"/>
        <charset val="129"/>
      </rPr>
      <t>)</t>
    </r>
    <r>
      <rPr>
        <sz val="10.5"/>
        <rFont val="Noto Sans CJK SC"/>
        <family val="2"/>
      </rPr>
      <t>에서는 아래층을 완료해야 위층이 열립니다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앱이 자동으로 처리해요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</si>
  <si>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 xml:space="preserve">   예</t>
    </r>
    <r>
      <rPr>
        <sz val="10.5"/>
        <rFont val="맑은 고딕"/>
        <family val="3"/>
        <charset val="129"/>
      </rPr>
      <t xml:space="preserve">) </t>
    </r>
    <r>
      <rPr>
        <sz val="10.5"/>
        <rFont val="Noto Sans CJK SC"/>
        <family val="2"/>
      </rPr>
      <t>저음 자리</t>
    </r>
    <r>
      <rPr>
        <sz val="10.5"/>
        <rFont val="맑은 고딕"/>
        <family val="3"/>
        <charset val="129"/>
      </rPr>
      <t>1 — 2</t>
    </r>
    <r>
      <rPr>
        <sz val="10.5"/>
        <rFont val="Noto Sans CJK SC"/>
        <family val="2"/>
      </rPr>
      <t xml:space="preserve">층을 해야 </t>
    </r>
    <r>
      <rPr>
        <sz val="10.5"/>
        <rFont val="맑은 고딕"/>
        <family val="3"/>
        <charset val="129"/>
      </rPr>
      <t>3</t>
    </r>
    <r>
      <rPr>
        <sz val="10.5"/>
        <rFont val="Noto Sans CJK SC"/>
        <family val="2"/>
      </rPr>
      <t>층</t>
    </r>
    <r>
      <rPr>
        <sz val="10.5"/>
        <rFont val="맑은 고딕"/>
        <family val="3"/>
        <charset val="129"/>
      </rPr>
      <t>, 3</t>
    </r>
    <r>
      <rPr>
        <sz val="10.5"/>
        <rFont val="Noto Sans CJK SC"/>
        <family val="2"/>
      </rPr>
      <t xml:space="preserve">층을 해야 </t>
    </r>
    <r>
      <rPr>
        <sz val="10.5"/>
        <rFont val="맑은 고딕"/>
        <family val="3"/>
        <charset val="129"/>
      </rPr>
      <t>4</t>
    </r>
    <r>
      <rPr>
        <sz val="10.5"/>
        <rFont val="Noto Sans CJK SC"/>
        <family val="2"/>
      </rPr>
      <t>층</t>
    </r>
    <r>
      <rPr>
        <sz val="10.5"/>
        <rFont val="맑은 고딕"/>
        <family val="3"/>
        <charset val="129"/>
      </rPr>
      <t>, 4</t>
    </r>
    <r>
      <rPr>
        <sz val="10.5"/>
        <rFont val="Noto Sans CJK SC"/>
        <family val="2"/>
      </rPr>
      <t xml:space="preserve">층을 해야 </t>
    </r>
    <r>
      <rPr>
        <sz val="10.5"/>
        <rFont val="맑은 고딕"/>
        <family val="3"/>
        <charset val="129"/>
      </rPr>
      <t>5</t>
    </r>
    <r>
      <rPr>
        <sz val="10.5"/>
        <rFont val="Noto Sans CJK SC"/>
        <family val="2"/>
      </rPr>
      <t>층이 열림</t>
    </r>
  </si>
  <si>
    <r>
      <rPr>
        <sz val="10.5"/>
        <rFont val="Noto Sans CJK SC"/>
        <family val="2"/>
      </rPr>
      <t xml:space="preserve">   그래서 같은 열로 이어지는 관계는 선행스킬 칸에 적지 않으셔도 됩니다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</si>
  <si>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>선행스킬</t>
    </r>
    <r>
      <rPr>
        <sz val="10.5"/>
        <rFont val="맑은 고딕"/>
        <family val="3"/>
        <charset val="129"/>
      </rPr>
      <t xml:space="preserve">1 / </t>
    </r>
    <r>
      <rPr>
        <sz val="10.5"/>
        <rFont val="Noto Sans CJK SC"/>
        <family val="2"/>
      </rPr>
      <t>선행스킬</t>
    </r>
    <r>
      <rPr>
        <sz val="10.5"/>
        <rFont val="맑은 고딕"/>
        <family val="3"/>
        <charset val="129"/>
      </rPr>
      <t xml:space="preserve">2 </t>
    </r>
    <r>
      <rPr>
        <sz val="10.5"/>
        <rFont val="Noto Sans CJK SC"/>
        <family val="2"/>
      </rPr>
      <t>칸에는 예외만 적으세요 —</t>
    </r>
  </si>
  <si>
    <r>
      <rPr>
        <sz val="10.5"/>
        <rFont val="Noto Sans CJK SC"/>
        <family val="2"/>
      </rPr>
      <t xml:space="preserve">   ① 다른 열에서 넘어오는 경우 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예</t>
    </r>
    <r>
      <rPr>
        <sz val="10.5"/>
        <rFont val="맑은 고딕"/>
        <family val="3"/>
        <charset val="129"/>
      </rPr>
      <t xml:space="preserve">: </t>
    </r>
    <r>
      <rPr>
        <sz val="10.5"/>
        <rFont val="Noto Sans CJK SC"/>
        <family val="2"/>
      </rPr>
      <t>자리</t>
    </r>
    <r>
      <rPr>
        <sz val="10.5"/>
        <rFont val="맑은 고딕"/>
        <family val="3"/>
        <charset val="129"/>
      </rPr>
      <t>3</t>
    </r>
    <r>
      <rPr>
        <sz val="10.5"/>
        <rFont val="Noto Sans CJK SC"/>
        <family val="2"/>
      </rPr>
      <t>의 스킬이 자리</t>
    </r>
    <r>
      <rPr>
        <sz val="10.5"/>
        <rFont val="맑은 고딕"/>
        <family val="3"/>
        <charset val="129"/>
      </rPr>
      <t xml:space="preserve">1 </t>
    </r>
    <r>
      <rPr>
        <sz val="10.5"/>
        <rFont val="Noto Sans CJK SC"/>
        <family val="2"/>
      </rPr>
      <t>스킬을 요구</t>
    </r>
    <r>
      <rPr>
        <sz val="10.5"/>
        <rFont val="맑은 고딕"/>
        <family val="3"/>
        <charset val="129"/>
      </rPr>
      <t>)</t>
    </r>
  </si>
  <si>
    <r>
      <rPr>
        <sz val="10.5"/>
        <rFont val="Noto Sans CJK SC"/>
        <family val="2"/>
      </rPr>
      <t xml:space="preserve">   ② 두 갈래가 하나로 합쳐지는 경우 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선행스킬</t>
    </r>
    <r>
      <rPr>
        <sz val="10.5"/>
        <rFont val="맑은 고딕"/>
        <family val="3"/>
        <charset val="129"/>
      </rPr>
      <t>1·2</t>
    </r>
    <r>
      <rPr>
        <sz val="10.5"/>
        <rFont val="Noto Sans CJK SC"/>
        <family val="2"/>
      </rPr>
      <t>에 각각</t>
    </r>
    <r>
      <rPr>
        <sz val="10.5"/>
        <rFont val="맑은 고딕"/>
        <family val="3"/>
        <charset val="129"/>
      </rPr>
      <t>)</t>
    </r>
  </si>
  <si>
    <r>
      <rPr>
        <sz val="10.5"/>
        <rFont val="Noto Sans CJK SC"/>
        <family val="2"/>
      </rPr>
      <t>타계열선행 칸에는 다른 계열의 스킬</t>
    </r>
    <r>
      <rPr>
        <sz val="10.5"/>
        <rFont val="맑은 고딕"/>
        <family val="3"/>
        <charset val="129"/>
      </rPr>
      <t>ID</t>
    </r>
    <r>
      <rPr>
        <sz val="10.5"/>
        <rFont val="Noto Sans CJK SC"/>
        <family val="2"/>
      </rPr>
      <t>를 적습니다</t>
    </r>
    <r>
      <rPr>
        <sz val="10.5"/>
        <rFont val="맑은 고딕"/>
        <family val="3"/>
        <charset val="129"/>
      </rPr>
      <t>.</t>
    </r>
  </si>
  <si>
    <r>
      <rPr>
        <b/>
        <sz val="11.5"/>
        <color rgb="FFC55A11"/>
        <rFont val="맑은 고딕"/>
        <family val="3"/>
        <charset val="129"/>
      </rPr>
      <t>■ [</t>
    </r>
    <r>
      <rPr>
        <b/>
        <sz val="11.5"/>
        <color rgb="FFC55A11"/>
        <rFont val="Noto Sans CJK SC"/>
        <family val="2"/>
      </rPr>
      <t>훈련내용</t>
    </r>
    <r>
      <rPr>
        <b/>
        <sz val="11.5"/>
        <color rgb="FFC55A11"/>
        <rFont val="맑은 고딕"/>
        <family val="3"/>
        <charset val="129"/>
      </rPr>
      <t xml:space="preserve">] </t>
    </r>
    <r>
      <rPr>
        <b/>
        <sz val="11.5"/>
        <color rgb="FFC55A11"/>
        <rFont val="Noto Sans CJK SC"/>
        <family val="2"/>
      </rPr>
      <t>시트 쓰는 법</t>
    </r>
  </si>
  <si>
    <r>
      <rPr>
        <sz val="10.5"/>
        <rFont val="Noto Sans CJK SC"/>
        <family val="2"/>
      </rPr>
      <t>스킬 하나가 한 줄입니다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카드를 여러 장 쓰려면 같은 스킬</t>
    </r>
    <r>
      <rPr>
        <sz val="10.5"/>
        <rFont val="맑은 고딕"/>
        <family val="3"/>
        <charset val="129"/>
      </rPr>
      <t>ID</t>
    </r>
    <r>
      <rPr>
        <sz val="10.5"/>
        <rFont val="Noto Sans CJK SC"/>
        <family val="2"/>
      </rPr>
      <t xml:space="preserve">로 줄을 아래에 추가하고 카드번호를 </t>
    </r>
    <r>
      <rPr>
        <sz val="10.5"/>
        <rFont val="맑은 고딕"/>
        <family val="3"/>
        <charset val="129"/>
      </rPr>
      <t>2, 3</t>
    </r>
    <r>
      <rPr>
        <sz val="10.5"/>
        <rFont val="Noto Sans CJK SC"/>
        <family val="2"/>
      </rPr>
      <t>으로 올리세요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</si>
  <si>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>본문 — 카드 화면에 글로 표시됩니다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줄바꿈은 그대로 반영되고</t>
    </r>
    <r>
      <rPr>
        <sz val="10.5"/>
        <rFont val="맑은 고딕"/>
        <family val="3"/>
        <charset val="129"/>
      </rPr>
      <t>, **</t>
    </r>
    <r>
      <rPr>
        <sz val="10.5"/>
        <rFont val="Noto Sans CJK SC"/>
        <family val="2"/>
      </rPr>
      <t>글자</t>
    </r>
    <r>
      <rPr>
        <sz val="10.5"/>
        <rFont val="맑은 고딕"/>
        <family val="3"/>
        <charset val="129"/>
      </rPr>
      <t>**</t>
    </r>
    <r>
      <rPr>
        <sz val="10.5"/>
        <rFont val="Noto Sans CJK SC"/>
        <family val="2"/>
      </rPr>
      <t>로 감싸면 초록 볼드가 됩니다</t>
    </r>
    <r>
      <rPr>
        <sz val="10.5"/>
        <rFont val="맑은 고딕"/>
        <family val="3"/>
        <charset val="129"/>
      </rPr>
      <t>.</t>
    </r>
  </si>
  <si>
    <r>
      <rPr>
        <sz val="10.5"/>
        <rFont val="맑은 고딕"/>
        <family val="3"/>
        <charset val="129"/>
      </rPr>
      <t>[</t>
    </r>
    <r>
      <rPr>
        <sz val="10.5"/>
        <rFont val="Noto Sans CJK SC"/>
        <family val="2"/>
      </rPr>
      <t>멘트만</t>
    </r>
    <r>
      <rPr>
        <sz val="10.5"/>
        <rFont val="맑은 고딕"/>
        <family val="3"/>
        <charset val="129"/>
      </rPr>
      <t xml:space="preserve">] — </t>
    </r>
    <r>
      <rPr>
        <sz val="10.5"/>
        <rFont val="Noto Sans CJK SC"/>
        <family val="2"/>
      </rPr>
      <t>화면에 안 보이고 음성으로만 나가는 말입니다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발성 상식이나 마무리 멘트를 넣으세요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</si>
  <si>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>미디어 — 영상이나 사진 링크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없으면 비워두세요</t>
    </r>
    <r>
      <rPr>
        <sz val="10.5"/>
        <rFont val="맑은 고딕"/>
        <family val="3"/>
        <charset val="129"/>
      </rPr>
      <t>.</t>
    </r>
  </si>
  <si>
    <r>
      <rPr>
        <sz val="10.5"/>
        <rFont val="맑은 고딕"/>
        <family val="3"/>
        <charset val="129"/>
      </rPr>
      <t xml:space="preserve">BGM — </t>
    </r>
    <r>
      <rPr>
        <sz val="10.5"/>
        <rFont val="Noto Sans CJK SC"/>
        <family val="2"/>
      </rPr>
      <t>배경음 번호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 xml:space="preserve">호흡 코스처럼 쓰려면 </t>
    </r>
    <r>
      <rPr>
        <sz val="10.5"/>
        <rFont val="맑은 고딕"/>
        <family val="3"/>
        <charset val="129"/>
      </rPr>
      <t>5</t>
    </r>
    <r>
      <rPr>
        <sz val="10.5"/>
        <rFont val="Noto Sans CJK SC"/>
        <family val="2"/>
      </rPr>
      <t>를 넣으세요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없으면 비움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</si>
  <si>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>회색 칸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스킬</t>
    </r>
    <r>
      <rPr>
        <sz val="10.5"/>
        <rFont val="맑은 고딕"/>
        <family val="3"/>
        <charset val="129"/>
      </rPr>
      <t>ID·</t>
    </r>
    <r>
      <rPr>
        <sz val="10.5"/>
        <rFont val="Noto Sans CJK SC"/>
        <family val="2"/>
      </rPr>
      <t>스킬명</t>
    </r>
    <r>
      <rPr>
        <sz val="10.5"/>
        <rFont val="맑은 고딕"/>
        <family val="3"/>
        <charset val="129"/>
      </rPr>
      <t>·</t>
    </r>
    <r>
      <rPr>
        <sz val="10.5"/>
        <rFont val="Noto Sans CJK SC"/>
        <family val="2"/>
      </rPr>
      <t>계열</t>
    </r>
    <r>
      <rPr>
        <sz val="10.5"/>
        <rFont val="맑은 고딕"/>
        <family val="3"/>
        <charset val="129"/>
      </rPr>
      <t>)</t>
    </r>
    <r>
      <rPr>
        <sz val="10.5"/>
        <rFont val="Noto Sans CJK SC"/>
        <family val="2"/>
      </rPr>
      <t>은 스킬트리 시트에서 가져온 값입니다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파란 칸은 아직 훈련명이 없는 자리예요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</si>
  <si>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 xml:space="preserve">훈련명이 정해지면 </t>
    </r>
    <r>
      <rPr>
        <sz val="10.5"/>
        <rFont val="맑은 고딕"/>
        <family val="3"/>
        <charset val="129"/>
      </rPr>
      <t>[</t>
    </r>
    <r>
      <rPr>
        <sz val="10.5"/>
        <rFont val="Noto Sans CJK SC"/>
        <family val="2"/>
      </rPr>
      <t>스킬트리</t>
    </r>
    <r>
      <rPr>
        <sz val="10.5"/>
        <rFont val="맑은 고딕"/>
        <family val="3"/>
        <charset val="129"/>
      </rPr>
      <t xml:space="preserve">] </t>
    </r>
    <r>
      <rPr>
        <sz val="10.5"/>
        <rFont val="Noto Sans CJK SC"/>
        <family val="2"/>
      </rPr>
      <t>시트의 스킬명을 먼저 채우시고 알려주세요</t>
    </r>
    <r>
      <rPr>
        <sz val="10.5"/>
        <rFont val="맑은 고딕"/>
        <family val="3"/>
        <charset val="129"/>
      </rPr>
      <t xml:space="preserve">. </t>
    </r>
    <r>
      <rPr>
        <sz val="10.5"/>
        <rFont val="Noto Sans CJK SC"/>
        <family val="2"/>
      </rPr>
      <t>여기 시트도 같이 갱신해 드립니다</t>
    </r>
    <r>
      <rPr>
        <sz val="10.5"/>
        <rFont val="맑은 고딕"/>
        <family val="3"/>
        <charset val="129"/>
      </rPr>
      <t>.</t>
    </r>
  </si>
  <si>
    <t>■ 호흡해금일차의 뜻</t>
  </si>
  <si>
    <r>
      <rPr>
        <sz val="10.5"/>
        <rFont val="Noto Sans CJK SC"/>
        <family val="2"/>
      </rPr>
      <t>호흡 훈련하기</t>
    </r>
    <r>
      <rPr>
        <sz val="10.5"/>
        <rFont val="맑은 고딕"/>
        <family val="3"/>
        <charset val="129"/>
      </rPr>
      <t>(15</t>
    </r>
    <r>
      <rPr>
        <sz val="10.5"/>
        <rFont val="Noto Sans CJK SC"/>
        <family val="2"/>
      </rPr>
      <t>일 코스</t>
    </r>
    <r>
      <rPr>
        <sz val="10.5"/>
        <rFont val="맑은 고딕"/>
        <family val="3"/>
        <charset val="129"/>
      </rPr>
      <t>)</t>
    </r>
    <r>
      <rPr>
        <sz val="10.5"/>
        <rFont val="Noto Sans CJK SC"/>
        <family val="2"/>
      </rPr>
      <t>를 며칠차까지 완료해야 그 스킬이 열리는지를 적는 칸입니다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</si>
  <si>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>예</t>
    </r>
    <r>
      <rPr>
        <sz val="10.5"/>
        <rFont val="맑은 고딕"/>
        <family val="3"/>
        <charset val="129"/>
      </rPr>
      <t xml:space="preserve">) 7 </t>
    </r>
    <r>
      <rPr>
        <sz val="10.5"/>
        <rFont val="Noto Sans CJK SC"/>
        <family val="2"/>
      </rPr>
      <t xml:space="preserve">이라고 적으면 → 호흡 훈련하기 </t>
    </r>
    <r>
      <rPr>
        <sz val="10.5"/>
        <rFont val="맑은 고딕"/>
        <family val="3"/>
        <charset val="129"/>
      </rPr>
      <t>7</t>
    </r>
    <r>
      <rPr>
        <sz val="10.5"/>
        <rFont val="Noto Sans CJK SC"/>
        <family val="2"/>
      </rPr>
      <t>일차를 마쳐야 그 스킬이 해금됩니다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</si>
  <si>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 xml:space="preserve">각 계열의 </t>
    </r>
    <r>
      <rPr>
        <sz val="10.5"/>
        <rFont val="맑은 고딕"/>
        <family val="3"/>
        <charset val="129"/>
      </rPr>
      <t>1</t>
    </r>
    <r>
      <rPr>
        <sz val="10.5"/>
        <rFont val="Noto Sans CJK SC"/>
        <family val="2"/>
      </rPr>
      <t>층 스킬에만 적으면 됩니다</t>
    </r>
    <r>
      <rPr>
        <sz val="10.5"/>
        <rFont val="맑은 고딕"/>
        <family val="3"/>
        <charset val="129"/>
      </rPr>
      <t>. 2</t>
    </r>
    <r>
      <rPr>
        <sz val="10.5"/>
        <rFont val="Noto Sans CJK SC"/>
        <family val="2"/>
      </rPr>
      <t>층부터는 같은 열 아래층 완료가 조건이니까요</t>
    </r>
    <r>
      <rPr>
        <sz val="10.5"/>
        <rFont val="맑은 고딕"/>
        <family val="3"/>
        <charset val="129"/>
      </rPr>
      <t>.</t>
    </r>
  </si>
  <si>
    <r>
      <rPr>
        <sz val="10.5"/>
        <rFont val="Noto Sans CJK SC"/>
        <family val="2"/>
      </rPr>
      <t>비워두면 호흡 진도와 상관없이 처음부터 열립니다</t>
    </r>
    <r>
      <rPr>
        <sz val="10.5"/>
        <rFont val="맑은 고딕"/>
        <family val="3"/>
        <charset val="129"/>
      </rPr>
      <t>.</t>
    </r>
  </si>
  <si>
    <t>훈련 스킬 트리 입력표     노란칸=직접 입력 / 회색칸=자동 (수정하지 마세요)</t>
  </si>
  <si>
    <t>스케일ID</t>
  </si>
  <si>
    <t>스케일명</t>
  </si>
  <si>
    <t>음역</t>
  </si>
  <si>
    <t>넘버</t>
  </si>
  <si>
    <t>훈련명</t>
  </si>
  <si>
    <t>계열</t>
  </si>
  <si>
    <t>층</t>
  </si>
  <si>
    <t>자리</t>
  </si>
  <si>
    <t>스킬ID</t>
  </si>
  <si>
    <t>스킬명</t>
  </si>
  <si>
    <t>스케일ID
(공용/여)</t>
  </si>
  <si>
    <t>스케일ID
(남)</t>
  </si>
  <si>
    <t>스케일명(자동)</t>
  </si>
  <si>
    <t>반복</t>
  </si>
  <si>
    <t>완료최소횟수</t>
  </si>
  <si>
    <t>선행스킬1</t>
  </si>
  <si>
    <t>타계열선행</t>
  </si>
  <si>
    <t>호흡해금일차</t>
  </si>
  <si>
    <t>상태</t>
  </si>
  <si>
    <t>메모</t>
  </si>
  <si>
    <t>검사</t>
  </si>
  <si>
    <t>3D-A</t>
  </si>
  <si>
    <r>
      <rPr>
        <sz val="10.5"/>
        <rFont val="맑은 고딕"/>
        <family val="3"/>
        <charset val="129"/>
      </rPr>
      <t>3</t>
    </r>
    <r>
      <rPr>
        <sz val="10.5"/>
        <rFont val="Noto Sans CJK SC"/>
        <family val="2"/>
      </rPr>
      <t>도 스케일</t>
    </r>
  </si>
  <si>
    <t>흉성(여자)</t>
  </si>
  <si>
    <t>가슴 소리 만들기</t>
  </si>
  <si>
    <t>저음</t>
  </si>
  <si>
    <t>L1-3</t>
  </si>
  <si>
    <t>소울음소리</t>
  </si>
  <si>
    <t>공개</t>
  </si>
  <si>
    <t>3D-B</t>
  </si>
  <si>
    <t>흉성(남)</t>
  </si>
  <si>
    <t>발성훈련 셋팅</t>
  </si>
  <si>
    <t>L2-1</t>
  </si>
  <si>
    <t>우~우~우~</t>
  </si>
  <si>
    <t>3D-C</t>
  </si>
  <si>
    <t>흉성~낮은중성</t>
  </si>
  <si>
    <t>흉복식호흡</t>
  </si>
  <si>
    <t>L2-2</t>
  </si>
  <si>
    <t>아~아~아~</t>
  </si>
  <si>
    <t>3D-D</t>
  </si>
  <si>
    <t>흉성~높은중성</t>
  </si>
  <si>
    <t>주먹쥐고 호흡</t>
  </si>
  <si>
    <t>L2-3</t>
  </si>
  <si>
    <t>립트릴</t>
  </si>
  <si>
    <t>5D-A</t>
  </si>
  <si>
    <t>5D-J</t>
  </si>
  <si>
    <t>3D-E</t>
  </si>
  <si>
    <t>낮은중성</t>
  </si>
  <si>
    <t>호흡 저항 도구 훈련</t>
  </si>
  <si>
    <t>L2-4</t>
  </si>
  <si>
    <t>3D-F</t>
  </si>
  <si>
    <t>높은중성</t>
  </si>
  <si>
    <t>L2-5</t>
  </si>
  <si>
    <t>3D-G</t>
  </si>
  <si>
    <t>흉성~낮은두성</t>
  </si>
  <si>
    <t>립트릴 1번</t>
  </si>
  <si>
    <t>L3-1</t>
  </si>
  <si>
    <t>강한 우~우~우~</t>
  </si>
  <si>
    <t>준비중</t>
  </si>
  <si>
    <t>3D-H</t>
  </si>
  <si>
    <t>흉성~높은두성</t>
  </si>
  <si>
    <t>립트릴 2번</t>
  </si>
  <si>
    <t>L3-2</t>
  </si>
  <si>
    <t>강한 아~아~아~</t>
  </si>
  <si>
    <t>3D-I</t>
  </si>
  <si>
    <t>립트릴 3번</t>
  </si>
  <si>
    <t>L3-3</t>
  </si>
  <si>
    <r>
      <rPr>
        <sz val="10.5"/>
        <rFont val="맑은 고딕"/>
        <family val="3"/>
        <charset val="129"/>
      </rPr>
      <t>5</t>
    </r>
    <r>
      <rPr>
        <sz val="10.5"/>
        <rFont val="Noto Sans CJK SC"/>
        <family val="2"/>
      </rPr>
      <t>도 스케일</t>
    </r>
  </si>
  <si>
    <t>립트릴 4번</t>
  </si>
  <si>
    <t>L3-4</t>
  </si>
  <si>
    <t>흉성(남자)</t>
  </si>
  <si>
    <r>
      <rPr>
        <sz val="10.5"/>
        <rFont val="맑은 고딕"/>
        <family val="3"/>
        <charset val="129"/>
      </rPr>
      <t>S</t>
    </r>
    <r>
      <rPr>
        <sz val="10.5"/>
        <rFont val="Noto Sans CJK SC"/>
        <family val="2"/>
      </rPr>
      <t>로 호흡 뱉기</t>
    </r>
  </si>
  <si>
    <t>L3-5</t>
  </si>
  <si>
    <t>5D-B</t>
  </si>
  <si>
    <r>
      <rPr>
        <sz val="10.5"/>
        <rFont val="맑은 고딕"/>
        <family val="3"/>
        <charset val="129"/>
      </rPr>
      <t>S</t>
    </r>
    <r>
      <rPr>
        <sz val="10.5"/>
        <rFont val="Noto Sans CJK SC"/>
        <family val="2"/>
      </rPr>
      <t>로 스타카토 호흡뱉기</t>
    </r>
  </si>
  <si>
    <t>L4-1</t>
  </si>
  <si>
    <t>강한 우(앞)</t>
  </si>
  <si>
    <t>5D-C</t>
  </si>
  <si>
    <r>
      <rPr>
        <sz val="10.5"/>
        <rFont val="맑은 고딕"/>
        <family val="3"/>
        <charset val="129"/>
      </rPr>
      <t>S</t>
    </r>
    <r>
      <rPr>
        <sz val="10.5"/>
        <rFont val="Noto Sans CJK SC"/>
        <family val="2"/>
      </rPr>
      <t>로 소리내기</t>
    </r>
  </si>
  <si>
    <t>L4-2</t>
  </si>
  <si>
    <t>강한 아(앞)</t>
  </si>
  <si>
    <t>5D-D</t>
  </si>
  <si>
    <t>흉성~휘슬</t>
  </si>
  <si>
    <r>
      <rPr>
        <sz val="10.5"/>
        <rFont val="맑은 고딕"/>
        <family val="3"/>
        <charset val="129"/>
      </rPr>
      <t xml:space="preserve">Z </t>
    </r>
    <r>
      <rPr>
        <sz val="10.5"/>
        <rFont val="Noto Sans CJK SC"/>
        <family val="2"/>
      </rPr>
      <t>스타카토 소리내기</t>
    </r>
  </si>
  <si>
    <t>L4-3</t>
  </si>
  <si>
    <t>5D-E</t>
  </si>
  <si>
    <t>중성~낮은중성</t>
  </si>
  <si>
    <r>
      <rPr>
        <sz val="10.5"/>
        <rFont val="맑은 고딕"/>
        <family val="3"/>
        <charset val="129"/>
      </rPr>
      <t xml:space="preserve">Z </t>
    </r>
    <r>
      <rPr>
        <sz val="10.5"/>
        <rFont val="Noto Sans CJK SC"/>
        <family val="2"/>
      </rPr>
      <t>한음 유지</t>
    </r>
  </si>
  <si>
    <t>L4-4</t>
  </si>
  <si>
    <t>5D-F</t>
  </si>
  <si>
    <t>중성~높은중성</t>
  </si>
  <si>
    <r>
      <rPr>
        <sz val="10.5"/>
        <rFont val="맑은 고딕"/>
        <family val="3"/>
        <charset val="129"/>
      </rPr>
      <t xml:space="preserve">Z </t>
    </r>
    <r>
      <rPr>
        <sz val="10.5"/>
        <rFont val="Noto Sans CJK SC"/>
        <family val="2"/>
      </rPr>
      <t>소리내기</t>
    </r>
  </si>
  <si>
    <t>L4-5</t>
  </si>
  <si>
    <t>5D-G</t>
  </si>
  <si>
    <t>중성~낮은두성</t>
  </si>
  <si>
    <t>허밍</t>
  </si>
  <si>
    <t>L5-1</t>
  </si>
  <si>
    <t>강한 우(뒤)</t>
  </si>
  <si>
    <t>5D-H</t>
  </si>
  <si>
    <t>중성~높은두성</t>
  </si>
  <si>
    <t>오픈 허밍</t>
  </si>
  <si>
    <t>L5-2</t>
  </si>
  <si>
    <t>강한 아(뒤)</t>
  </si>
  <si>
    <t>5D-I</t>
  </si>
  <si>
    <t>중성~휘슬</t>
  </si>
  <si>
    <t>오픈허밍 아~</t>
  </si>
  <si>
    <t>L5-3</t>
  </si>
  <si>
    <t>5H-A</t>
  </si>
  <si>
    <r>
      <rPr>
        <sz val="10.5"/>
        <rFont val="맑은 고딕"/>
        <family val="3"/>
        <charset val="129"/>
      </rPr>
      <t>5</t>
    </r>
    <r>
      <rPr>
        <sz val="10.5"/>
        <rFont val="Noto Sans CJK SC"/>
        <family val="2"/>
      </rPr>
      <t>도 쉬고 내려오기</t>
    </r>
  </si>
  <si>
    <t>오픈허밍 마아~</t>
  </si>
  <si>
    <t>L5-4</t>
  </si>
  <si>
    <t>5H-I</t>
  </si>
  <si>
    <t>L5-5</t>
  </si>
  <si>
    <t>5H-E</t>
  </si>
  <si>
    <t>L6-1</t>
  </si>
  <si>
    <t>우</t>
  </si>
  <si>
    <t>5H-F</t>
  </si>
  <si>
    <t>L6-2</t>
  </si>
  <si>
    <t>아</t>
  </si>
  <si>
    <t>5H-G</t>
  </si>
  <si>
    <t>호흡 섞은 우 소리내기</t>
  </si>
  <si>
    <t>L6-3</t>
  </si>
  <si>
    <t>5H-H</t>
  </si>
  <si>
    <t>가슴에 호흡 대기</t>
  </si>
  <si>
    <t>L6-4</t>
  </si>
  <si>
    <t>5H-B</t>
  </si>
  <si>
    <t>강한 성대음 만들기 (흉성)</t>
  </si>
  <si>
    <t>L6-5</t>
  </si>
  <si>
    <t>5H-C</t>
  </si>
  <si>
    <t>강한 성대음 만들기 (중성)</t>
  </si>
  <si>
    <t>중음</t>
  </si>
  <si>
    <t>M1-1</t>
  </si>
  <si>
    <t>5H-D</t>
  </si>
  <si>
    <t>M1-2</t>
  </si>
  <si>
    <t>9D-A</t>
  </si>
  <si>
    <r>
      <rPr>
        <sz val="10.5"/>
        <rFont val="맑은 고딕"/>
        <family val="3"/>
        <charset val="129"/>
      </rPr>
      <t>9</t>
    </r>
    <r>
      <rPr>
        <sz val="10.5"/>
        <rFont val="Noto Sans CJK SC"/>
        <family val="2"/>
      </rPr>
      <t>도 스케일</t>
    </r>
  </si>
  <si>
    <t>M1-3</t>
  </si>
  <si>
    <t>9D-B</t>
  </si>
  <si>
    <t>M1-4</t>
  </si>
  <si>
    <t>9D-C</t>
  </si>
  <si>
    <t>M1-5</t>
  </si>
  <si>
    <t>9H-A</t>
  </si>
  <si>
    <r>
      <rPr>
        <sz val="10.5"/>
        <rFont val="맑은 고딕"/>
        <family val="3"/>
        <charset val="129"/>
      </rPr>
      <t>9</t>
    </r>
    <r>
      <rPr>
        <sz val="10.5"/>
        <rFont val="Noto Sans CJK SC"/>
        <family val="2"/>
      </rPr>
      <t>도 쉬고 내려오기</t>
    </r>
  </si>
  <si>
    <t>M2-1</t>
  </si>
  <si>
    <t>9H-B</t>
  </si>
  <si>
    <t>강한 우</t>
  </si>
  <si>
    <t>M2-2</t>
  </si>
  <si>
    <t>9H-C</t>
  </si>
  <si>
    <t>M2-3</t>
  </si>
  <si>
    <t>5DN-A</t>
  </si>
  <si>
    <r>
      <rPr>
        <sz val="10.5"/>
        <rFont val="맑은 고딕"/>
        <family val="3"/>
        <charset val="129"/>
      </rPr>
      <t>5</t>
    </r>
    <r>
      <rPr>
        <sz val="10.5"/>
        <rFont val="Noto Sans CJK SC"/>
        <family val="2"/>
      </rPr>
      <t>도 하향 스케일</t>
    </r>
  </si>
  <si>
    <t>강한 후우</t>
  </si>
  <si>
    <t>M2-4</t>
  </si>
  <si>
    <t>5DN-H</t>
  </si>
  <si>
    <t>M2-5</t>
  </si>
  <si>
    <t>5DN-B</t>
  </si>
  <si>
    <t>M3-1</t>
  </si>
  <si>
    <r>
      <rPr>
        <sz val="10.5"/>
        <rFont val="Noto Sans CJK SC"/>
        <family val="2"/>
      </rPr>
      <t xml:space="preserve">오픈 허밍 </t>
    </r>
    <r>
      <rPr>
        <sz val="10.5"/>
        <rFont val="맑은 고딕"/>
        <family val="3"/>
        <charset val="129"/>
      </rPr>
      <t>1</t>
    </r>
    <r>
      <rPr>
        <sz val="10.5"/>
        <rFont val="Noto Sans CJK SC"/>
        <family val="2"/>
      </rPr>
      <t>번</t>
    </r>
  </si>
  <si>
    <t>5DN-F</t>
  </si>
  <si>
    <t>M3-2</t>
  </si>
  <si>
    <t>5DN-G</t>
  </si>
  <si>
    <t>M3-3</t>
  </si>
  <si>
    <t>5DN-C</t>
  </si>
  <si>
    <t>M3-4</t>
  </si>
  <si>
    <t>5DN-D</t>
  </si>
  <si>
    <t>M3-5</t>
  </si>
  <si>
    <t>5DN-E</t>
  </si>
  <si>
    <t>M4-1</t>
  </si>
  <si>
    <t>오픈 허밍 2번</t>
  </si>
  <si>
    <t>5DUD-A</t>
  </si>
  <si>
    <r>
      <rPr>
        <sz val="10.5"/>
        <rFont val="맑은 고딕"/>
        <family val="3"/>
        <charset val="129"/>
      </rPr>
      <t>5</t>
    </r>
    <r>
      <rPr>
        <sz val="10.5"/>
        <rFont val="Noto Sans CJK SC"/>
        <family val="2"/>
      </rPr>
      <t>도 하향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상향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하향 스케일</t>
    </r>
  </si>
  <si>
    <t>M4-2</t>
  </si>
  <si>
    <t>5DUD-H</t>
  </si>
  <si>
    <t>M4-3</t>
  </si>
  <si>
    <t>5DUD-B</t>
  </si>
  <si>
    <t>M4-4</t>
  </si>
  <si>
    <t>5DUD-F</t>
  </si>
  <si>
    <t>M4-5</t>
  </si>
  <si>
    <t>5DUD-G</t>
  </si>
  <si>
    <t>H1-1</t>
  </si>
  <si>
    <t>5DUD-C</t>
  </si>
  <si>
    <t>H1-2</t>
  </si>
  <si>
    <t>5DUD-D</t>
  </si>
  <si>
    <t>고음</t>
  </si>
  <si>
    <t>H1-3</t>
  </si>
  <si>
    <r>
      <rPr>
        <sz val="10.5"/>
        <rFont val="Noto Sans CJK SC"/>
        <family val="2"/>
      </rPr>
      <t xml:space="preserve">허밍 </t>
    </r>
    <r>
      <rPr>
        <sz val="10.5"/>
        <rFont val="맑은 고딕"/>
        <family val="3"/>
        <charset val="129"/>
      </rPr>
      <t>1</t>
    </r>
    <r>
      <rPr>
        <sz val="10.5"/>
        <rFont val="Noto Sans CJK SC"/>
        <family val="2"/>
      </rPr>
      <t>번</t>
    </r>
  </si>
  <si>
    <t>5DUD-E</t>
  </si>
  <si>
    <t>강한 아</t>
  </si>
  <si>
    <t>H1-4</t>
  </si>
  <si>
    <t>5DNH-A</t>
  </si>
  <si>
    <r>
      <rPr>
        <sz val="10.5"/>
        <rFont val="맑은 고딕"/>
        <family val="3"/>
        <charset val="129"/>
      </rPr>
      <t>5</t>
    </r>
    <r>
      <rPr>
        <sz val="10.5"/>
        <rFont val="Noto Sans CJK SC"/>
        <family val="2"/>
      </rPr>
      <t>도 홀드 하향 스케일</t>
    </r>
  </si>
  <si>
    <t>H1-5</t>
  </si>
  <si>
    <t>5DNH-H</t>
  </si>
  <si>
    <t>H2-1</t>
  </si>
  <si>
    <r>
      <rPr>
        <sz val="10.5"/>
        <rFont val="Noto Sans CJK SC"/>
        <family val="2"/>
      </rPr>
      <t xml:space="preserve">립트릴 </t>
    </r>
    <r>
      <rPr>
        <sz val="10.5"/>
        <rFont val="맑은 고딕"/>
        <family val="3"/>
        <charset val="129"/>
      </rPr>
      <t>1</t>
    </r>
    <r>
      <rPr>
        <sz val="10.5"/>
        <rFont val="Noto Sans CJK SC"/>
        <family val="2"/>
      </rPr>
      <t>번</t>
    </r>
  </si>
  <si>
    <t>5DNH-B</t>
  </si>
  <si>
    <t>H2-2</t>
  </si>
  <si>
    <t>5DNH-F</t>
  </si>
  <si>
    <t>H2-3</t>
  </si>
  <si>
    <r>
      <rPr>
        <sz val="10.5"/>
        <rFont val="Noto Sans CJK SC"/>
        <family val="2"/>
      </rPr>
      <t xml:space="preserve">허밍 </t>
    </r>
    <r>
      <rPr>
        <sz val="10.5"/>
        <rFont val="맑은 고딕"/>
        <family val="3"/>
        <charset val="129"/>
      </rPr>
      <t>2</t>
    </r>
    <r>
      <rPr>
        <sz val="10.5"/>
        <rFont val="Noto Sans CJK SC"/>
        <family val="2"/>
      </rPr>
      <t>번</t>
    </r>
  </si>
  <si>
    <t>5DNH-G</t>
  </si>
  <si>
    <t>강한 하아</t>
  </si>
  <si>
    <t>H2-4</t>
  </si>
  <si>
    <t>후~ 내려오기</t>
  </si>
  <si>
    <t>5DNH-C</t>
  </si>
  <si>
    <t>H2-5</t>
  </si>
  <si>
    <t>Back Pressure 1번</t>
  </si>
  <si>
    <t>5DNH-D</t>
  </si>
  <si>
    <t>H3-1</t>
  </si>
  <si>
    <r>
      <rPr>
        <sz val="10.5"/>
        <rFont val="Noto Sans CJK SC"/>
        <family val="2"/>
      </rPr>
      <t xml:space="preserve">립트릴 </t>
    </r>
    <r>
      <rPr>
        <sz val="10.5"/>
        <rFont val="맑은 고딕"/>
        <family val="3"/>
        <charset val="129"/>
      </rPr>
      <t>2</t>
    </r>
    <r>
      <rPr>
        <sz val="10.5"/>
        <rFont val="Noto Sans CJK SC"/>
        <family val="2"/>
      </rPr>
      <t>번</t>
    </r>
  </si>
  <si>
    <t>5DNH-E</t>
  </si>
  <si>
    <t>H3-2</t>
  </si>
  <si>
    <t>9DN-A</t>
  </si>
  <si>
    <r>
      <rPr>
        <sz val="10.5"/>
        <rFont val="맑은 고딕"/>
        <family val="3"/>
        <charset val="129"/>
      </rPr>
      <t>9</t>
    </r>
    <r>
      <rPr>
        <sz val="10.5"/>
        <rFont val="Noto Sans CJK SC"/>
        <family val="2"/>
      </rPr>
      <t>도 하향 스케일</t>
    </r>
  </si>
  <si>
    <t>H3-3</t>
  </si>
  <si>
    <r>
      <rPr>
        <sz val="10.5"/>
        <rFont val="Noto Sans CJK SC"/>
        <family val="2"/>
      </rPr>
      <t xml:space="preserve">허밍 </t>
    </r>
    <r>
      <rPr>
        <sz val="10.5"/>
        <rFont val="맑은 고딕"/>
        <family val="3"/>
        <charset val="129"/>
      </rPr>
      <t>3</t>
    </r>
    <r>
      <rPr>
        <sz val="10.5"/>
        <rFont val="Noto Sans CJK SC"/>
        <family val="2"/>
      </rPr>
      <t>번</t>
    </r>
  </si>
  <si>
    <t>9DN-B</t>
  </si>
  <si>
    <t>성구전환 훈련</t>
  </si>
  <si>
    <t>H3-4</t>
  </si>
  <si>
    <t>오 두성</t>
  </si>
  <si>
    <t>9DN-C</t>
  </si>
  <si>
    <t>H3-5</t>
  </si>
  <si>
    <t>Back Pressure 2번</t>
  </si>
  <si>
    <t>9DNH-A</t>
  </si>
  <si>
    <r>
      <rPr>
        <sz val="10.5"/>
        <rFont val="맑은 고딕"/>
        <family val="3"/>
        <charset val="129"/>
      </rPr>
      <t>9</t>
    </r>
    <r>
      <rPr>
        <sz val="10.5"/>
        <rFont val="Noto Sans CJK SC"/>
        <family val="2"/>
      </rPr>
      <t>도 홀드 하향 스케일</t>
    </r>
  </si>
  <si>
    <t>H4-1</t>
  </si>
  <si>
    <r>
      <rPr>
        <sz val="10.5"/>
        <rFont val="Noto Sans CJK SC"/>
        <family val="2"/>
      </rPr>
      <t xml:space="preserve">립트릴 </t>
    </r>
    <r>
      <rPr>
        <sz val="10.5"/>
        <rFont val="맑은 고딕"/>
        <family val="3"/>
        <charset val="129"/>
      </rPr>
      <t>3</t>
    </r>
    <r>
      <rPr>
        <sz val="10.5"/>
        <rFont val="Noto Sans CJK SC"/>
        <family val="2"/>
      </rPr>
      <t>번</t>
    </r>
  </si>
  <si>
    <t>9DNH-B</t>
  </si>
  <si>
    <t>H4-2</t>
  </si>
  <si>
    <r>
      <rPr>
        <sz val="10.5"/>
        <rFont val="Noto Sans CJK SC"/>
        <family val="2"/>
      </rPr>
      <t xml:space="preserve">오픈 허밍 </t>
    </r>
    <r>
      <rPr>
        <sz val="10.5"/>
        <rFont val="맑은 고딕"/>
        <family val="3"/>
        <charset val="129"/>
      </rPr>
      <t>2</t>
    </r>
    <r>
      <rPr>
        <sz val="10.5"/>
        <rFont val="Noto Sans CJK SC"/>
        <family val="2"/>
      </rPr>
      <t>번</t>
    </r>
  </si>
  <si>
    <t>9DNH-C</t>
  </si>
  <si>
    <t>H4-3</t>
  </si>
  <si>
    <t>허밍 4번</t>
  </si>
  <si>
    <t>9DNHO-A</t>
  </si>
  <si>
    <r>
      <rPr>
        <sz val="10.5"/>
        <rFont val="맑은 고딕"/>
        <family val="3"/>
        <charset val="129"/>
      </rPr>
      <t>9</t>
    </r>
    <r>
      <rPr>
        <sz val="10.5"/>
        <rFont val="Noto Sans CJK SC"/>
        <family val="2"/>
      </rPr>
      <t>도 홀드 하향 스케일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하향만</t>
    </r>
    <r>
      <rPr>
        <sz val="10.5"/>
        <rFont val="맑은 고딕"/>
        <family val="3"/>
        <charset val="129"/>
      </rPr>
      <t>)</t>
    </r>
  </si>
  <si>
    <t>낮은두성 시작</t>
  </si>
  <si>
    <t>아 하아</t>
  </si>
  <si>
    <t>H4-4</t>
  </si>
  <si>
    <t>오 성구전환</t>
  </si>
  <si>
    <t>9DNHO-B</t>
  </si>
  <si>
    <t>높은두성 시작</t>
  </si>
  <si>
    <t>H4-5</t>
  </si>
  <si>
    <t>Back Pressure 3번</t>
  </si>
  <si>
    <t>9DNHO-C</t>
  </si>
  <si>
    <t>휘슬 시작</t>
  </si>
  <si>
    <t>H5-1</t>
  </si>
  <si>
    <r>
      <rPr>
        <sz val="10.5"/>
        <rFont val="Noto Sans CJK SC"/>
        <family val="2"/>
      </rPr>
      <t xml:space="preserve">립트릴 </t>
    </r>
    <r>
      <rPr>
        <sz val="10.5"/>
        <rFont val="맑은 고딕"/>
        <family val="3"/>
        <charset val="129"/>
      </rPr>
      <t>4</t>
    </r>
    <r>
      <rPr>
        <sz val="10.5"/>
        <rFont val="Noto Sans CJK SC"/>
        <family val="2"/>
      </rPr>
      <t>번</t>
    </r>
  </si>
  <si>
    <t>PRH-A</t>
  </si>
  <si>
    <r>
      <rPr>
        <sz val="10.5"/>
        <rFont val="맑은 고딕"/>
        <family val="3"/>
        <charset val="129"/>
      </rPr>
      <t xml:space="preserve">Press </t>
    </r>
    <r>
      <rPr>
        <sz val="10.5"/>
        <rFont val="Noto Sans CJK SC"/>
        <family val="2"/>
      </rPr>
      <t>후우 스케일</t>
    </r>
  </si>
  <si>
    <t>H5-2</t>
  </si>
  <si>
    <t>ARP-A</t>
  </si>
  <si>
    <t>아르페지오 스케일</t>
  </si>
  <si>
    <t>H5-3</t>
  </si>
  <si>
    <t>ARP-B</t>
  </si>
  <si>
    <t>H5-4</t>
  </si>
  <si>
    <t>ARP-C</t>
  </si>
  <si>
    <t>H5-5</t>
  </si>
  <si>
    <t>ARP-D</t>
  </si>
  <si>
    <t>성대결절 케어</t>
  </si>
  <si>
    <t>C1-1</t>
  </si>
  <si>
    <t>C1-2</t>
  </si>
  <si>
    <t>C1-3</t>
  </si>
  <si>
    <t>C1-4</t>
  </si>
  <si>
    <t>C1-5</t>
  </si>
  <si>
    <t>C2-1</t>
  </si>
  <si>
    <t>C2-2</t>
  </si>
  <si>
    <t>C2-3</t>
  </si>
  <si>
    <t>C2-4</t>
  </si>
  <si>
    <t>C2-5</t>
  </si>
  <si>
    <t>C3-1</t>
  </si>
  <si>
    <t>C3-2</t>
  </si>
  <si>
    <t>C3-3</t>
  </si>
  <si>
    <t>C3-4</t>
  </si>
  <si>
    <t>C3-5</t>
  </si>
  <si>
    <t>계열키</t>
  </si>
  <si>
    <t>계열이름</t>
  </si>
  <si>
    <t>색상</t>
  </si>
  <si>
    <t>한줄소개</t>
  </si>
  <si>
    <t>키워드1</t>
  </si>
  <si>
    <t>키워드2</t>
  </si>
  <si>
    <t>키워드3</t>
  </si>
  <si>
    <t>내부메모</t>
  </si>
  <si>
    <t>low</t>
  </si>
  <si>
    <t>#2563eb</t>
  </si>
  <si>
    <t>울림의 바닥부터 넓히는 계열</t>
  </si>
  <si>
    <t>소리가 작다는 말을 들었을 때</t>
  </si>
  <si>
    <t>기초부터 탄탄히 하고 싶을 때</t>
  </si>
  <si>
    <t>목소리에 힘을 싣고 싶을 때</t>
  </si>
  <si>
    <t>흉성 계열. 가슴 울림과 낮은 음역 기반을 만드는 판.</t>
  </si>
  <si>
    <t>mid</t>
  </si>
  <si>
    <t>#0d9488</t>
  </si>
  <si>
    <t>가장 많이 쓰는 음역, 가장 많이 티 나는 구간</t>
  </si>
  <si>
    <t>말하듯이 노래하고 싶을 때</t>
  </si>
  <si>
    <t>발라드 한 곡 제대로 부르고 싶을 때</t>
  </si>
  <si>
    <t>노래만 하면 목이 뻣뻣해질 때</t>
  </si>
  <si>
    <t>중성 계열. 립트릴·허밍 등 성구전환 준비 단계.</t>
  </si>
  <si>
    <t>high</t>
  </si>
  <si>
    <t>#7c3aed</t>
  </si>
  <si>
    <t>위로 가는 길을 뚫는 계열</t>
  </si>
  <si>
    <t>노래방 약속이 잡힌 금요일</t>
  </si>
  <si>
    <t>락이 그리울 때</t>
  </si>
  <si>
    <t>늘 후렴에서 막힐 때</t>
  </si>
  <si>
    <t>두성 계열. 호흡을 더 확보한 뒤 열리도록 늦게 해금.</t>
  </si>
  <si>
    <t>care</t>
  </si>
  <si>
    <t>#16a34a</t>
  </si>
  <si>
    <t>지친 성대를 되돌리는 시간</t>
  </si>
  <si>
    <t>어제 좀 무리했다 싶을 때</t>
  </si>
  <si>
    <t>목이 자주 잠기는 편이라면</t>
  </si>
  <si>
    <t>쉬는 것도 훈련이니까</t>
  </si>
  <si>
    <t>성대결절 회복에 도움을 주는 훈련.</t>
  </si>
  <si>
    <t>※ 한줄소개=계열 판 상단 표시 / 키워드='이럴 때 좋아요' 칩. 자유롭게 고치세요.</t>
  </si>
  <si>
    <t>강한 오</t>
  </si>
  <si>
    <t>헤드보이스 셋업</t>
  </si>
  <si>
    <t>Back Pressure</t>
  </si>
  <si>
    <r>
      <rPr>
        <b/>
        <sz val="11.5"/>
        <color rgb="FF1F3864"/>
        <rFont val="Noto Sans CJK SC"/>
        <family val="2"/>
      </rPr>
      <t>훈련 스킬 카드 내용 — 호흡 훈련하기 카드와 같은 방식입니다</t>
    </r>
    <r>
      <rPr>
        <b/>
        <sz val="11.5"/>
        <color rgb="FF1F3864"/>
        <rFont val="맑은 고딕"/>
        <family val="3"/>
        <charset val="129"/>
      </rPr>
      <t xml:space="preserve">. </t>
    </r>
    <r>
      <rPr>
        <b/>
        <sz val="11.5"/>
        <color rgb="FF1F3864"/>
        <rFont val="Noto Sans CJK SC"/>
        <family val="2"/>
      </rPr>
      <t>스킬 하나에 카드를 여러 장 쓰려면 아래에 같은 스킬</t>
    </r>
    <r>
      <rPr>
        <b/>
        <sz val="11.5"/>
        <color rgb="FF1F3864"/>
        <rFont val="맑은 고딕"/>
        <family val="3"/>
        <charset val="129"/>
      </rPr>
      <t>ID</t>
    </r>
    <r>
      <rPr>
        <b/>
        <sz val="11.5"/>
        <color rgb="FF1F3864"/>
        <rFont val="Noto Sans CJK SC"/>
        <family val="2"/>
      </rPr>
      <t>로 줄을 추가하세요</t>
    </r>
    <r>
      <rPr>
        <b/>
        <sz val="11.5"/>
        <color rgb="FF1F3864"/>
        <rFont val="맑은 고딕"/>
        <family val="3"/>
        <charset val="129"/>
      </rPr>
      <t>.</t>
    </r>
  </si>
  <si>
    <r>
      <rPr>
        <b/>
        <sz val="10.5"/>
        <color rgb="FFFFFFFF"/>
        <rFont val="Noto Sans CJK SC"/>
        <family val="2"/>
      </rPr>
      <t>스킬</t>
    </r>
    <r>
      <rPr>
        <b/>
        <sz val="10.5"/>
        <color rgb="FFFFFFFF"/>
        <rFont val="맑은 고딕"/>
        <family val="3"/>
        <charset val="129"/>
      </rPr>
      <t>ID</t>
    </r>
  </si>
  <si>
    <t>카드번호</t>
  </si>
  <si>
    <r>
      <rPr>
        <b/>
        <sz val="10.5"/>
        <color rgb="FFFFFFFF"/>
        <rFont val="Noto Sans CJK SC"/>
        <family val="2"/>
      </rPr>
      <t xml:space="preserve">본문 </t>
    </r>
    <r>
      <rPr>
        <b/>
        <sz val="10.5"/>
        <color rgb="FFFFFFFF"/>
        <rFont val="맑은 고딕"/>
        <family val="3"/>
        <charset val="129"/>
      </rPr>
      <t>(</t>
    </r>
    <r>
      <rPr>
        <b/>
        <sz val="10.5"/>
        <color rgb="FFFFFFFF"/>
        <rFont val="Noto Sans CJK SC"/>
        <family val="2"/>
      </rPr>
      <t>카드에 표시될 글</t>
    </r>
    <r>
      <rPr>
        <b/>
        <sz val="10.5"/>
        <color rgb="FFFFFFFF"/>
        <rFont val="맑은 고딕"/>
        <family val="3"/>
        <charset val="129"/>
      </rPr>
      <t>)</t>
    </r>
  </si>
  <si>
    <r>
      <rPr>
        <b/>
        <sz val="10.5"/>
        <color rgb="FFFFFFFF"/>
        <rFont val="맑은 고딕"/>
        <family val="3"/>
        <charset val="129"/>
      </rPr>
      <t>[</t>
    </r>
    <r>
      <rPr>
        <b/>
        <sz val="10.5"/>
        <color rgb="FFFFFFFF"/>
        <rFont val="Noto Sans CJK SC"/>
        <family val="2"/>
      </rPr>
      <t>멘트만</t>
    </r>
    <r>
      <rPr>
        <b/>
        <sz val="10.5"/>
        <color rgb="FFFFFFFF"/>
        <rFont val="맑은 고딕"/>
        <family val="3"/>
        <charset val="129"/>
      </rPr>
      <t>] (</t>
    </r>
    <r>
      <rPr>
        <b/>
        <sz val="10.5"/>
        <color rgb="FFFFFFFF"/>
        <rFont val="Noto Sans CJK SC"/>
        <family val="2"/>
      </rPr>
      <t>음성으로만 나갈 말</t>
    </r>
    <r>
      <rPr>
        <b/>
        <sz val="10.5"/>
        <color rgb="FFFFFFFF"/>
        <rFont val="맑은 고딕"/>
        <family val="3"/>
        <charset val="129"/>
      </rPr>
      <t>)</t>
    </r>
  </si>
  <si>
    <r>
      <rPr>
        <b/>
        <sz val="10.5"/>
        <color rgb="FFFFFFFF"/>
        <rFont val="Noto Sans CJK SC"/>
        <family val="2"/>
      </rPr>
      <t xml:space="preserve">미디어 </t>
    </r>
    <r>
      <rPr>
        <b/>
        <sz val="10.5"/>
        <color rgb="FFFFFFFF"/>
        <rFont val="맑은 고딕"/>
        <family val="3"/>
        <charset val="129"/>
      </rPr>
      <t>(</t>
    </r>
    <r>
      <rPr>
        <b/>
        <sz val="10.5"/>
        <color rgb="FFFFFFFF"/>
        <rFont val="Noto Sans CJK SC"/>
        <family val="2"/>
      </rPr>
      <t>영상</t>
    </r>
    <r>
      <rPr>
        <b/>
        <sz val="10.5"/>
        <color rgb="FFFFFFFF"/>
        <rFont val="맑은 고딕"/>
        <family val="3"/>
        <charset val="129"/>
      </rPr>
      <t>/</t>
    </r>
    <r>
      <rPr>
        <b/>
        <sz val="10.5"/>
        <color rgb="FFFFFFFF"/>
        <rFont val="Noto Sans CJK SC"/>
        <family val="2"/>
      </rPr>
      <t>사진 링크</t>
    </r>
    <r>
      <rPr>
        <b/>
        <sz val="10.5"/>
        <color rgb="FFFFFFFF"/>
        <rFont val="맑은 고딕"/>
        <family val="3"/>
        <charset val="129"/>
      </rPr>
      <t>)</t>
    </r>
  </si>
  <si>
    <t>BGM</t>
  </si>
  <si>
    <r>
      <rPr>
        <sz val="10.5"/>
        <rFont val="Noto Sans CJK SC"/>
        <family val="2"/>
      </rPr>
      <t>우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우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우</t>
    </r>
    <r>
      <rPr>
        <sz val="10.5"/>
        <rFont val="맑은 고딕"/>
        <family val="3"/>
        <charset val="129"/>
      </rPr>
      <t>~</t>
    </r>
  </si>
  <si>
    <r>
      <rPr>
        <sz val="10.5"/>
        <rFont val="Noto Sans CJK SC"/>
        <family val="2"/>
      </rPr>
      <t>아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아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아</t>
    </r>
    <r>
      <rPr>
        <sz val="10.5"/>
        <rFont val="맑은 고딕"/>
        <family val="3"/>
        <charset val="129"/>
      </rPr>
      <t>~</t>
    </r>
  </si>
  <si>
    <r>
      <rPr>
        <sz val="10.5"/>
        <rFont val="Noto Sans CJK SC"/>
        <family val="2"/>
      </rPr>
      <t xml:space="preserve">훈련명 미정 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자리만 확보</t>
    </r>
    <r>
      <rPr>
        <sz val="10.5"/>
        <rFont val="맑은 고딕"/>
        <family val="3"/>
        <charset val="129"/>
      </rPr>
      <t>)</t>
    </r>
  </si>
  <si>
    <r>
      <rPr>
        <sz val="10.5"/>
        <rFont val="Noto Sans CJK SC"/>
        <family val="2"/>
      </rPr>
      <t>강한 우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우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우</t>
    </r>
    <r>
      <rPr>
        <sz val="10.5"/>
        <rFont val="맑은 고딕"/>
        <family val="3"/>
        <charset val="129"/>
      </rPr>
      <t>~</t>
    </r>
  </si>
  <si>
    <r>
      <rPr>
        <sz val="10.5"/>
        <rFont val="Noto Sans CJK SC"/>
        <family val="2"/>
      </rPr>
      <t>강한 아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아</t>
    </r>
    <r>
      <rPr>
        <sz val="10.5"/>
        <rFont val="맑은 고딕"/>
        <family val="3"/>
        <charset val="129"/>
      </rPr>
      <t>~</t>
    </r>
    <r>
      <rPr>
        <sz val="10.5"/>
        <rFont val="Noto Sans CJK SC"/>
        <family val="2"/>
      </rPr>
      <t>아</t>
    </r>
    <r>
      <rPr>
        <sz val="10.5"/>
        <rFont val="맑은 고딕"/>
        <family val="3"/>
        <charset val="129"/>
      </rPr>
      <t>~</t>
    </r>
  </si>
  <si>
    <r>
      <rPr>
        <sz val="10.5"/>
        <rFont val="Noto Sans CJK SC"/>
        <family val="2"/>
      </rPr>
      <t>강한 우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앞</t>
    </r>
    <r>
      <rPr>
        <sz val="10.5"/>
        <rFont val="맑은 고딕"/>
        <family val="3"/>
        <charset val="129"/>
      </rPr>
      <t>)</t>
    </r>
  </si>
  <si>
    <r>
      <rPr>
        <sz val="10.5"/>
        <rFont val="Noto Sans CJK SC"/>
        <family val="2"/>
      </rPr>
      <t>강한 아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앞</t>
    </r>
    <r>
      <rPr>
        <sz val="10.5"/>
        <rFont val="맑은 고딕"/>
        <family val="3"/>
        <charset val="129"/>
      </rPr>
      <t>)</t>
    </r>
  </si>
  <si>
    <r>
      <rPr>
        <sz val="10.5"/>
        <rFont val="Noto Sans CJK SC"/>
        <family val="2"/>
      </rPr>
      <t>강한 우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뒤</t>
    </r>
    <r>
      <rPr>
        <sz val="10.5"/>
        <rFont val="맑은 고딕"/>
        <family val="3"/>
        <charset val="129"/>
      </rPr>
      <t>)</t>
    </r>
  </si>
  <si>
    <r>
      <rPr>
        <sz val="10.5"/>
        <rFont val="Noto Sans CJK SC"/>
        <family val="2"/>
      </rPr>
      <t>강한 아</t>
    </r>
    <r>
      <rPr>
        <sz val="10.5"/>
        <rFont val="맑은 고딕"/>
        <family val="3"/>
        <charset val="129"/>
      </rPr>
      <t>(</t>
    </r>
    <r>
      <rPr>
        <sz val="10.5"/>
        <rFont val="Noto Sans CJK SC"/>
        <family val="2"/>
      </rPr>
      <t>뒤</t>
    </r>
    <r>
      <rPr>
        <sz val="10.5"/>
        <rFont val="맑은 고딕"/>
        <family val="3"/>
        <charset val="129"/>
      </rPr>
      <t>)</t>
    </r>
  </si>
  <si>
    <r>
      <rPr>
        <sz val="10.5"/>
        <rFont val="Noto Sans CJK SC"/>
        <family val="2"/>
      </rPr>
      <t xml:space="preserve">오픈 허밍 </t>
    </r>
    <r>
      <rPr>
        <sz val="10.5"/>
        <rFont val="맑은 고딕"/>
        <family val="3"/>
        <charset val="129"/>
      </rPr>
      <t>1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</si>
  <si>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오픈 허밍 </t>
    </r>
    <r>
      <rPr>
        <sz val="10.5"/>
        <rFont val="맑은 고딕"/>
        <family val="3"/>
        <charset val="129"/>
      </rPr>
      <t>2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</si>
  <si>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허밍 </t>
    </r>
    <r>
      <rPr>
        <sz val="10.5"/>
        <rFont val="맑은 고딕"/>
        <family val="3"/>
        <charset val="129"/>
      </rPr>
      <t>1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</si>
  <si>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립트릴 </t>
    </r>
    <r>
      <rPr>
        <sz val="10.5"/>
        <rFont val="맑은 고딕"/>
        <family val="3"/>
        <charset val="129"/>
      </rPr>
      <t>1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</si>
  <si>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허밍 </t>
    </r>
    <r>
      <rPr>
        <sz val="10.5"/>
        <rFont val="맑은 고딕"/>
        <family val="3"/>
        <charset val="129"/>
      </rPr>
      <t>2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</si>
  <si>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>후</t>
    </r>
    <r>
      <rPr>
        <sz val="10.5"/>
        <rFont val="맑은 고딕"/>
        <family val="3"/>
        <charset val="129"/>
      </rPr>
      <t xml:space="preserve">~ </t>
    </r>
    <r>
      <rPr>
        <sz val="10.5"/>
        <rFont val="Noto Sans CJK SC"/>
        <family val="2"/>
      </rPr>
      <t>내려오기</t>
    </r>
  </si>
  <si>
    <r>
      <rPr>
        <sz val="10.5"/>
        <rFont val="맑은 고딕"/>
        <family val="3"/>
        <charset val="129"/>
      </rPr>
      <t>Back Pressure 1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</si>
  <si>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립트릴 </t>
    </r>
    <r>
      <rPr>
        <sz val="10.5"/>
        <rFont val="맑은 고딕"/>
        <family val="3"/>
        <charset val="129"/>
      </rPr>
      <t>2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</si>
  <si>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허밍 </t>
    </r>
    <r>
      <rPr>
        <sz val="10.5"/>
        <rFont val="맑은 고딕"/>
        <family val="3"/>
        <charset val="129"/>
      </rPr>
      <t>3</t>
    </r>
    <r>
      <rPr>
        <sz val="10.5"/>
        <rFont val="Noto Sans CJK SC"/>
        <family val="2"/>
      </rPr>
      <t>번</t>
    </r>
  </si>
  <si>
    <r>
      <rPr>
        <sz val="10.5"/>
        <rFont val="맑은 고딕"/>
        <family val="3"/>
        <charset val="129"/>
      </rPr>
      <t>Back Pressure 2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</si>
  <si>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립트릴 </t>
    </r>
    <r>
      <rPr>
        <sz val="10.5"/>
        <rFont val="맑은 고딕"/>
        <family val="3"/>
        <charset val="129"/>
      </rPr>
      <t>3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</si>
  <si>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허밍 </t>
    </r>
    <r>
      <rPr>
        <sz val="10.5"/>
        <rFont val="맑은 고딕"/>
        <family val="3"/>
        <charset val="129"/>
      </rPr>
      <t>4</t>
    </r>
    <r>
      <rPr>
        <sz val="10.5"/>
        <rFont val="Noto Sans CJK SC"/>
        <family val="2"/>
      </rPr>
      <t>번</t>
    </r>
  </si>
  <si>
    <r>
      <rPr>
        <sz val="10.5"/>
        <rFont val="맑은 고딕"/>
        <family val="3"/>
        <charset val="129"/>
      </rPr>
      <t>Back Pressure 3</t>
    </r>
    <r>
      <rPr>
        <sz val="10.5"/>
        <rFont val="Noto Sans CJK SC"/>
        <family val="2"/>
      </rPr>
      <t>번</t>
    </r>
  </si>
  <si>
    <r>
      <rPr>
        <sz val="10.5"/>
        <rFont val="Noto Sans CJK SC"/>
        <family val="2"/>
      </rPr>
      <t xml:space="preserve">립트릴 </t>
    </r>
    <r>
      <rPr>
        <sz val="10.5"/>
        <rFont val="맑은 고딕"/>
        <family val="3"/>
        <charset val="129"/>
      </rPr>
      <t>4</t>
    </r>
    <r>
      <rPr>
        <sz val="10.5"/>
        <rFont val="Noto Sans CJK SC"/>
        <family val="2"/>
      </rPr>
      <t>번</t>
    </r>
  </si>
  <si>
    <t>고음</t>
    <phoneticPr fontId="18" type="noConversion"/>
  </si>
  <si>
    <t>5H-G</t>
    <phoneticPr fontId="18" type="noConversion"/>
  </si>
  <si>
    <t>5H-H</t>
    <phoneticPr fontId="18" type="noConversion"/>
  </si>
  <si>
    <t>9D-B</t>
    <phoneticPr fontId="18" type="noConversion"/>
  </si>
  <si>
    <t>9D-C</t>
    <phoneticPr fontId="18" type="noConversion"/>
  </si>
  <si>
    <t>9H-B</t>
    <phoneticPr fontId="18" type="noConversion"/>
  </si>
  <si>
    <t>9H-C</t>
    <phoneticPr fontId="18" type="noConversion"/>
  </si>
  <si>
    <t>립트릴 1번</t>
    <phoneticPr fontId="18" type="noConversion"/>
  </si>
  <si>
    <t>립트릴</t>
    <phoneticPr fontId="18" type="noConversion"/>
  </si>
  <si>
    <t>C3-5</t>
    <phoneticPr fontId="18" type="noConversion"/>
  </si>
  <si>
    <t>C4-1</t>
    <phoneticPr fontId="18" type="noConversion"/>
  </si>
  <si>
    <t>C4-3</t>
  </si>
  <si>
    <t>C4-4</t>
  </si>
  <si>
    <t>C4-5</t>
  </si>
  <si>
    <t>C4-2</t>
    <phoneticPr fontId="18" type="noConversion"/>
  </si>
  <si>
    <r>
      <rPr>
        <sz val="10.5"/>
        <rFont val="맑은 고딕"/>
        <family val="3"/>
        <charset val="129"/>
      </rPr>
      <t>엎드려</t>
    </r>
    <r>
      <rPr>
        <sz val="10.5"/>
        <rFont val="Arial"/>
        <family val="2"/>
      </rPr>
      <t xml:space="preserve"> </t>
    </r>
    <r>
      <rPr>
        <sz val="10.5"/>
        <rFont val="맑은 고딕"/>
        <family val="3"/>
        <charset val="129"/>
      </rPr>
      <t>문장</t>
    </r>
    <r>
      <rPr>
        <sz val="10.5"/>
        <rFont val="Arial"/>
        <family val="2"/>
      </rPr>
      <t xml:space="preserve"> </t>
    </r>
    <r>
      <rPr>
        <sz val="10.5"/>
        <rFont val="맑은 고딕"/>
        <family val="3"/>
        <charset val="129"/>
      </rPr>
      <t>읽기</t>
    </r>
    <phoneticPr fontId="18" type="noConversion"/>
  </si>
  <si>
    <t>C5-1</t>
    <phoneticPr fontId="18" type="noConversion"/>
  </si>
  <si>
    <t>C5-3</t>
  </si>
  <si>
    <t>C5-4</t>
  </si>
  <si>
    <t>C5-5</t>
  </si>
  <si>
    <t>C5-2</t>
    <phoneticPr fontId="18" type="noConversion"/>
  </si>
  <si>
    <t>서서 문장 읽기</t>
    <phoneticPr fontId="18" type="noConversion"/>
  </si>
  <si>
    <t>C1-1</t>
    <phoneticPr fontId="18" type="noConversion"/>
  </si>
  <si>
    <r>
      <rPr>
        <b/>
        <sz val="10.5"/>
        <color rgb="FFFFFFFF"/>
        <rFont val="맑은 고딕"/>
        <family val="3"/>
        <charset val="129"/>
      </rPr>
      <t>선행스킬</t>
    </r>
    <r>
      <rPr>
        <b/>
        <sz val="10.5"/>
        <color rgb="FFFFFFFF"/>
        <rFont val="Arial"/>
        <family val="2"/>
      </rPr>
      <t>2</t>
    </r>
    <phoneticPr fontId="18" type="noConversion"/>
  </si>
  <si>
    <t>선행스킬3</t>
    <phoneticPr fontId="18" type="noConversion"/>
  </si>
  <si>
    <t>C1-3</t>
    <phoneticPr fontId="18" type="noConversion"/>
  </si>
  <si>
    <t>H2-1</t>
    <phoneticPr fontId="18" type="noConversion"/>
  </si>
  <si>
    <t>H1-3</t>
    <phoneticPr fontId="18" type="noConversion"/>
  </si>
  <si>
    <t>M1-3</t>
    <phoneticPr fontId="18" type="noConversion"/>
  </si>
  <si>
    <t>L1-3</t>
    <phoneticPr fontId="18" type="noConversion"/>
  </si>
  <si>
    <r>
      <rPr>
        <sz val="10.5"/>
        <rFont val="맑은 고딕"/>
        <family val="3"/>
        <charset val="129"/>
      </rPr>
      <t>아</t>
    </r>
    <r>
      <rPr>
        <sz val="10.5"/>
        <rFont val="Arial"/>
        <family val="2"/>
      </rPr>
      <t>~</t>
    </r>
    <r>
      <rPr>
        <sz val="10.5"/>
        <rFont val="맑은 고딕"/>
        <family val="3"/>
        <charset val="129"/>
      </rPr>
      <t>아</t>
    </r>
    <r>
      <rPr>
        <sz val="10.5"/>
        <rFont val="Arial"/>
        <family val="2"/>
      </rPr>
      <t>~</t>
    </r>
    <r>
      <rPr>
        <sz val="10.5"/>
        <rFont val="맑은 고딕"/>
        <family val="3"/>
        <charset val="129"/>
      </rPr>
      <t>아</t>
    </r>
    <r>
      <rPr>
        <sz val="10.5"/>
        <rFont val="Arial"/>
        <family val="2"/>
      </rPr>
      <t>~</t>
    </r>
    <phoneticPr fontId="18" type="noConversion"/>
  </si>
  <si>
    <t>Z 소리내기</t>
    <phoneticPr fontId="18" type="noConversion"/>
  </si>
  <si>
    <t>3D-A</t>
    <phoneticPr fontId="18" type="noConversion"/>
  </si>
  <si>
    <t>3D-E</t>
    <phoneticPr fontId="18" type="noConversion"/>
  </si>
  <si>
    <t>3D-F</t>
    <phoneticPr fontId="18" type="noConversion"/>
  </si>
  <si>
    <t>M1-3</t>
    <phoneticPr fontId="18" type="noConversion"/>
  </si>
  <si>
    <t>준비중</t>
    <phoneticPr fontId="18" type="noConversion"/>
  </si>
  <si>
    <r>
      <rPr>
        <sz val="10.5"/>
        <rFont val="맑은 고딕"/>
        <family val="3"/>
        <charset val="129"/>
      </rPr>
      <t>설압자</t>
    </r>
    <r>
      <rPr>
        <sz val="10.5"/>
        <rFont val="Arial"/>
        <family val="2"/>
      </rPr>
      <t xml:space="preserve"> </t>
    </r>
    <r>
      <rPr>
        <sz val="10.5"/>
        <rFont val="맑은 고딕"/>
        <family val="3"/>
        <charset val="129"/>
      </rPr>
      <t>문장</t>
    </r>
    <r>
      <rPr>
        <sz val="10.5"/>
        <rFont val="Arial"/>
        <family val="2"/>
      </rPr>
      <t xml:space="preserve"> </t>
    </r>
    <r>
      <rPr>
        <sz val="10.5"/>
        <rFont val="맑은 고딕"/>
        <family val="3"/>
        <charset val="129"/>
      </rPr>
      <t>읽기</t>
    </r>
    <phoneticPr fontId="18" type="noConversion"/>
  </si>
  <si>
    <t>벽에 붙어 문장 읽기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</si>
</sst>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b/>
      <sz val="16"/>
      <color rgb="FF1F3864"/>
      <name val="Noto Sans CJK SC"/>
      <family val="2"/>
      <charset val="1"/>
    </font>
    <font>
      <sz val="10.5"/>
      <name val="맑은 고딕"/>
      <family val="3"/>
      <charset val="129"/>
    </font>
    <font>
      <b/>
      <sz val="11.5"/>
      <color rgb="FFC55A11"/>
      <name val="Noto Sans CJK SC"/>
      <family val="2"/>
      <charset val="1"/>
    </font>
    <font>
      <sz val="10.5"/>
      <name val="Noto Sans CJK SC"/>
      <family val="2"/>
    </font>
    <font>
      <sz val="10.5"/>
      <name val="Noto Sans CJK SC"/>
      <family val="2"/>
      <charset val="1"/>
    </font>
    <font>
      <b/>
      <sz val="11.5"/>
      <color rgb="FFC55A11"/>
      <name val="Noto Sans CJK SC"/>
      <family val="2"/>
    </font>
    <font>
      <b/>
      <sz val="11.5"/>
      <color rgb="FFC55A11"/>
      <name val="맑은 고딕"/>
      <family val="3"/>
      <charset val="129"/>
    </font>
    <font>
      <sz val="10.5"/>
      <name val="맑은 고딕"/>
      <family val="3"/>
      <charset val="129"/>
    </font>
    <font>
      <b/>
      <sz val="12"/>
      <color rgb="FF1F3864"/>
      <name val="Noto Sans CJK SC"/>
      <family val="2"/>
      <charset val="1"/>
    </font>
    <font>
      <b/>
      <sz val="10.5"/>
      <color rgb="FFFFFFFF"/>
      <name val="Noto Sans CJK SC"/>
      <family val="2"/>
      <charset val="1"/>
    </font>
    <font>
      <sz val="10.5"/>
      <name val="Noto Sans CJK SC"/>
      <family val="3"/>
      <charset val="129"/>
    </font>
    <font>
      <i/>
      <sz val="10"/>
      <color rgb="FF808080"/>
      <name val="Noto Sans CJK SC"/>
      <family val="2"/>
      <charset val="1"/>
    </font>
    <font>
      <sz val="11"/>
      <color theme="1"/>
      <name val="Calibri"/>
      <family val="2"/>
      <charset val="129"/>
    </font>
    <font>
      <b/>
      <sz val="11.5"/>
      <color rgb="FF1F3864"/>
      <name val="Noto Sans CJK SC"/>
      <family val="2"/>
    </font>
    <font>
      <b/>
      <sz val="11.5"/>
      <color rgb="FF1F3864"/>
      <name val="맑은 고딕"/>
      <family val="3"/>
      <charset val="129"/>
    </font>
    <font>
      <b/>
      <sz val="10.5"/>
      <color rgb="FFFFFFFF"/>
      <name val="Noto Sans CJK SC"/>
      <family val="2"/>
    </font>
    <font>
      <b/>
      <sz val="10.5"/>
      <color rgb="FFFFFFFF"/>
      <name val="맑은 고딕"/>
      <family val="3"/>
      <charset val="129"/>
    </font>
    <font>
      <sz val="8"/>
      <name val="돋움"/>
      <family val="3"/>
      <charset val="129"/>
    </font>
    <font>
      <sz val="10.5"/>
      <name val="Arial"/>
      <family val="2"/>
    </font>
    <font>
      <b/>
      <sz val="10.5"/>
      <color rgb="FFFFFFFF"/>
      <name val="Arial"/>
      <family val="2"/>
    </font>
    <font>
      <b/>
      <sz val="10.5"/>
      <color rgb="FFFFFFFF"/>
      <name val="Noto Sans CJK S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11" fillId="5" borderId="1" xfId="0" applyFont="1" applyFill="1" applyBorder="1"/>
    <xf numFmtId="0" fontId="11" fillId="4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/>
    </xf>
    <xf numFmtId="0" fontId="21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4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showGridLines="0" zoomScaleNormal="100" workbookViewId="0">
      <selection activeCell="A28" sqref="A28"/>
    </sheetView>
  </sheetViews>
  <sheetFormatPr defaultColWidth="8.6328125" defaultRowHeight="14.5"/>
  <cols>
    <col min="1" max="1" width="118" customWidth="1"/>
  </cols>
  <sheetData>
    <row r="1" spans="1:1" ht="25.5" customHeight="1">
      <c r="A1" s="1" t="s">
        <v>0</v>
      </c>
    </row>
    <row r="2" spans="1:1" ht="17.25" customHeight="1">
      <c r="A2" s="2"/>
    </row>
    <row r="3" spans="1:1" ht="15" customHeight="1">
      <c r="A3" s="3" t="s">
        <v>1</v>
      </c>
    </row>
    <row r="4" spans="1:1" ht="17.25" customHeight="1">
      <c r="A4" s="2" t="s">
        <v>2</v>
      </c>
    </row>
    <row r="5" spans="1:1" ht="17.25" customHeight="1">
      <c r="A5" s="2" t="s">
        <v>3</v>
      </c>
    </row>
    <row r="6" spans="1:1" ht="17.25" customHeight="1">
      <c r="A6" s="2" t="s">
        <v>4</v>
      </c>
    </row>
    <row r="7" spans="1:1" ht="15" customHeight="1">
      <c r="A7" s="2" t="s">
        <v>5</v>
      </c>
    </row>
    <row r="8" spans="1:1" ht="17.25" customHeight="1">
      <c r="A8" s="2"/>
    </row>
    <row r="9" spans="1:1" ht="17.25" customHeight="1">
      <c r="A9" s="3" t="s">
        <v>6</v>
      </c>
    </row>
    <row r="10" spans="1:1" ht="17.25" customHeight="1">
      <c r="A10" s="4" t="s">
        <v>7</v>
      </c>
    </row>
    <row r="11" spans="1:1" ht="17.25" customHeight="1">
      <c r="A11" s="4" t="s">
        <v>8</v>
      </c>
    </row>
    <row r="12" spans="1:1" ht="17.25" customHeight="1">
      <c r="A12" s="4" t="s">
        <v>9</v>
      </c>
    </row>
    <row r="13" spans="1:1" ht="17.25" customHeight="1">
      <c r="A13" s="4" t="s">
        <v>10</v>
      </c>
    </row>
    <row r="14" spans="1:1" ht="17.25" customHeight="1">
      <c r="A14" s="4" t="s">
        <v>11</v>
      </c>
    </row>
    <row r="15" spans="1:1" ht="17.25" customHeight="1">
      <c r="A15" s="2"/>
    </row>
    <row r="16" spans="1:1" ht="17.25" customHeight="1">
      <c r="A16" s="3" t="s">
        <v>12</v>
      </c>
    </row>
    <row r="17" spans="1:1" ht="17.25" customHeight="1">
      <c r="A17" s="4" t="s">
        <v>13</v>
      </c>
    </row>
    <row r="18" spans="1:1" ht="17.25" customHeight="1">
      <c r="A18" s="4" t="s">
        <v>14</v>
      </c>
    </row>
    <row r="19" spans="1:1" ht="17.25" customHeight="1">
      <c r="A19" s="4" t="s">
        <v>15</v>
      </c>
    </row>
    <row r="20" spans="1:1" ht="17.25" customHeight="1">
      <c r="A20" s="4" t="s">
        <v>16</v>
      </c>
    </row>
    <row r="21" spans="1:1" ht="17.25" customHeight="1">
      <c r="A21" s="4" t="s">
        <v>17</v>
      </c>
    </row>
    <row r="22" spans="1:1" ht="17.25" customHeight="1">
      <c r="A22" s="4" t="s">
        <v>18</v>
      </c>
    </row>
    <row r="23" spans="1:1" ht="15" customHeight="1">
      <c r="A23" s="2"/>
    </row>
    <row r="24" spans="1:1" ht="17.25" customHeight="1">
      <c r="A24" s="3" t="s">
        <v>19</v>
      </c>
    </row>
    <row r="25" spans="1:1" ht="17.25" customHeight="1">
      <c r="A25" s="2" t="s">
        <v>20</v>
      </c>
    </row>
    <row r="26" spans="1:1" ht="17.25" customHeight="1">
      <c r="A26" s="2" t="s">
        <v>21</v>
      </c>
    </row>
    <row r="27" spans="1:1" ht="15" customHeight="1">
      <c r="A27" s="2" t="s">
        <v>22</v>
      </c>
    </row>
    <row r="28" spans="1:1" ht="17.25" customHeight="1">
      <c r="A28" s="2"/>
    </row>
    <row r="29" spans="1:1" ht="17.25" customHeight="1">
      <c r="A29" s="3" t="s">
        <v>23</v>
      </c>
    </row>
    <row r="30" spans="1:1" ht="17.25" customHeight="1">
      <c r="A30" s="4" t="s">
        <v>24</v>
      </c>
    </row>
    <row r="31" spans="1:1" ht="15" customHeight="1">
      <c r="A31" s="4" t="s">
        <v>25</v>
      </c>
    </row>
    <row r="32" spans="1:1" ht="17.25" customHeight="1">
      <c r="A32" s="2"/>
    </row>
    <row r="33" spans="1:1" ht="17.25" customHeight="1">
      <c r="A33" s="3" t="s">
        <v>26</v>
      </c>
    </row>
    <row r="34" spans="1:1" ht="17.25" customHeight="1">
      <c r="A34" s="4" t="s">
        <v>27</v>
      </c>
    </row>
    <row r="35" spans="1:1" ht="17.25" customHeight="1">
      <c r="A35" s="2"/>
    </row>
    <row r="36" spans="1:1" ht="15" customHeight="1">
      <c r="A36" s="3" t="s">
        <v>28</v>
      </c>
    </row>
    <row r="37" spans="1:1" ht="17.25" customHeight="1">
      <c r="A37" s="4" t="s">
        <v>29</v>
      </c>
    </row>
    <row r="38" spans="1:1" ht="17.25" customHeight="1">
      <c r="A38" s="4" t="s">
        <v>30</v>
      </c>
    </row>
    <row r="40" spans="1:1" ht="15" customHeight="1">
      <c r="A40" s="3" t="s">
        <v>31</v>
      </c>
    </row>
    <row r="41" spans="1:1" ht="17.25" customHeight="1">
      <c r="A41" s="4" t="s">
        <v>32</v>
      </c>
    </row>
    <row r="42" spans="1:1" ht="17.25" customHeight="1">
      <c r="A42" s="4" t="s">
        <v>33</v>
      </c>
    </row>
    <row r="43" spans="1:1" ht="17.25" customHeight="1">
      <c r="A43" s="4" t="s">
        <v>34</v>
      </c>
    </row>
    <row r="44" spans="1:1" ht="17.25" customHeight="1">
      <c r="A44" s="4" t="s">
        <v>35</v>
      </c>
    </row>
    <row r="45" spans="1:1" ht="17.25" customHeight="1">
      <c r="A45" s="4" t="s">
        <v>36</v>
      </c>
    </row>
    <row r="46" spans="1:1" ht="17.25" customHeight="1">
      <c r="A46" s="4" t="s">
        <v>37</v>
      </c>
    </row>
    <row r="47" spans="1:1" ht="17.25" customHeight="1">
      <c r="A47" s="4" t="s">
        <v>38</v>
      </c>
    </row>
    <row r="49" spans="1:1" ht="17.25" customHeight="1">
      <c r="A49" s="5" t="s">
        <v>39</v>
      </c>
    </row>
    <row r="50" spans="1:1" ht="17.25" customHeight="1">
      <c r="A50" s="6" t="s">
        <v>40</v>
      </c>
    </row>
    <row r="51" spans="1:1" ht="17.25" customHeight="1">
      <c r="A51" s="6" t="s">
        <v>41</v>
      </c>
    </row>
    <row r="52" spans="1:1" ht="17.25" customHeight="1">
      <c r="A52" s="6" t="s">
        <v>42</v>
      </c>
    </row>
    <row r="53" spans="1:1" ht="17.25" customHeight="1">
      <c r="A53" s="6" t="s">
        <v>43</v>
      </c>
    </row>
    <row r="54" spans="1:1" ht="17.25" customHeight="1">
      <c r="A54" s="6" t="s">
        <v>44</v>
      </c>
    </row>
    <row r="55" spans="1:1" ht="17.25" customHeight="1">
      <c r="A55" s="6" t="s">
        <v>45</v>
      </c>
    </row>
    <row r="56" spans="1:1" ht="17.25" customHeight="1">
      <c r="A56" s="6" t="s">
        <v>46</v>
      </c>
    </row>
    <row r="58" spans="1:1" ht="17.5">
      <c r="A58" s="7" t="s">
        <v>47</v>
      </c>
    </row>
    <row r="59" spans="1:1" ht="17.5">
      <c r="A59" s="6" t="s">
        <v>48</v>
      </c>
    </row>
    <row r="60" spans="1:1" ht="17.5">
      <c r="A60" s="6" t="s">
        <v>49</v>
      </c>
    </row>
    <row r="61" spans="1:1" ht="17.5">
      <c r="A61" s="8" t="s">
        <v>50</v>
      </c>
    </row>
    <row r="62" spans="1:1" ht="17.5">
      <c r="A62" s="6" t="s">
        <v>51</v>
      </c>
    </row>
    <row r="63" spans="1:1" ht="17.5">
      <c r="A63" s="8" t="s">
        <v>52</v>
      </c>
    </row>
    <row r="64" spans="1:1" ht="17.5">
      <c r="A64" s="6" t="s">
        <v>53</v>
      </c>
    </row>
    <row r="65" spans="1:1" ht="17.5">
      <c r="A65" s="6" t="s">
        <v>54</v>
      </c>
    </row>
    <row r="66" spans="1:1">
      <c r="A66" s="6"/>
    </row>
    <row r="67" spans="1:1" ht="15">
      <c r="A67" s="5" t="s">
        <v>55</v>
      </c>
    </row>
    <row r="68" spans="1:1" ht="17.5">
      <c r="A68" s="6" t="s">
        <v>56</v>
      </c>
    </row>
    <row r="69" spans="1:1" ht="17.5">
      <c r="A69" s="6" t="s">
        <v>57</v>
      </c>
    </row>
    <row r="70" spans="1:1" ht="17.5">
      <c r="A70" s="6" t="s">
        <v>58</v>
      </c>
    </row>
    <row r="71" spans="1:1" ht="17.5">
      <c r="A71" s="6" t="s">
        <v>59</v>
      </c>
    </row>
  </sheetData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0"/>
  <sheetViews>
    <sheetView tabSelected="1" zoomScaleNormal="100" workbookViewId="0">
      <pane xSplit="4" ySplit="2" topLeftCell="E18" activePane="bottomRight" state="frozen"/>
      <selection pane="topRight" activeCell="E1" sqref="E1"/>
      <selection pane="bottomLeft" activeCell="A9" sqref="A9"/>
      <selection pane="bottomRight" activeCell="P44" sqref="P44"/>
    </sheetView>
  </sheetViews>
  <sheetFormatPr defaultColWidth="8.6328125" defaultRowHeight="14.5"/>
  <cols>
    <col min="1" max="1" width="11" customWidth="1"/>
    <col min="2" max="2" width="6" customWidth="1"/>
    <col min="3" max="3" width="7" customWidth="1"/>
    <col min="4" max="4" width="10" customWidth="1"/>
    <col min="5" max="5" width="24" customWidth="1"/>
    <col min="6" max="6" width="12" customWidth="1"/>
    <col min="7" max="7" width="11" customWidth="1"/>
    <col min="8" max="8" width="69.453125" customWidth="1"/>
    <col min="9" max="9" width="8" customWidth="1"/>
    <col min="10" max="13" width="12" customWidth="1"/>
    <col min="14" max="14" width="11" customWidth="1"/>
    <col min="15" max="15" width="12" customWidth="1"/>
    <col min="16" max="16" width="9" customWidth="1"/>
    <col min="17" max="17" width="30" customWidth="1"/>
    <col min="18" max="18" width="18" customWidth="1"/>
    <col min="20" max="20" width="10.08984375" customWidth="1"/>
    <col min="21" max="21" width="27.36328125" customWidth="1"/>
    <col min="22" max="22" width="14.08984375" customWidth="1"/>
    <col min="24" max="24" width="5.08984375" customWidth="1"/>
    <col min="25" max="25" width="24.36328125" customWidth="1"/>
  </cols>
  <sheetData>
    <row r="1" spans="1:25" ht="24" customHeight="1">
      <c r="A1" s="40" t="s">
        <v>60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T1" s="9" t="s">
        <v>61</v>
      </c>
      <c r="U1" s="9" t="s">
        <v>62</v>
      </c>
      <c r="V1" s="9" t="s">
        <v>63</v>
      </c>
      <c r="X1" s="9" t="s">
        <v>64</v>
      </c>
      <c r="Y1" s="9" t="s">
        <v>65</v>
      </c>
    </row>
    <row r="2" spans="1:25" ht="33.75" customHeight="1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39" t="s">
        <v>428</v>
      </c>
      <c r="M2" s="10" t="s">
        <v>429</v>
      </c>
      <c r="N2" s="10" t="s">
        <v>77</v>
      </c>
      <c r="O2" s="10" t="s">
        <v>78</v>
      </c>
      <c r="P2" s="10" t="s">
        <v>79</v>
      </c>
      <c r="Q2" s="10" t="s">
        <v>80</v>
      </c>
      <c r="R2" s="10" t="s">
        <v>81</v>
      </c>
      <c r="T2" s="11" t="s">
        <v>437</v>
      </c>
      <c r="U2" s="11" t="s">
        <v>83</v>
      </c>
      <c r="V2" s="12" t="s">
        <v>84</v>
      </c>
      <c r="X2" s="11">
        <v>1</v>
      </c>
      <c r="Y2" s="12" t="s">
        <v>85</v>
      </c>
    </row>
    <row r="3" spans="1:25" ht="17.25" customHeight="1">
      <c r="A3" s="13" t="s">
        <v>86</v>
      </c>
      <c r="B3" s="14">
        <v>1</v>
      </c>
      <c r="C3" s="14">
        <v>3</v>
      </c>
      <c r="D3" s="14" t="s">
        <v>434</v>
      </c>
      <c r="E3" s="13" t="s">
        <v>88</v>
      </c>
      <c r="F3" s="14"/>
      <c r="G3" s="14"/>
      <c r="H3" s="15" t="str">
        <f>IF($F3="","",IF($G3="",IFERROR(INDEX(참조_스케일목록!$B:$B,MATCH($F3,참조_스케일목록!$A:$A,0))&amp;" ("&amp;INDEX(참조_스케일목록!$C:$C,MATCH($F3,참조_스케일목록!$A:$A,0))&amp;")","※없는 ID"),"여 "&amp;IFERROR(INDEX(참조_스케일목록!$B:$B,MATCH($F3,참조_스케일목록!$A:$A,0))&amp;" ("&amp;INDEX(참조_스케일목록!$C:$C,MATCH($F3,참조_스케일목록!$A:$A,0))&amp;")","※없는 ID")&amp;" / 남 "&amp;IFERROR(INDEX(참조_스케일목록!$B:$B,MATCH($G3,참조_스케일목록!$A:$A,0))&amp;" ("&amp;INDEX(참조_스케일목록!$C:$C,MATCH($G3,참조_스케일목록!$A:$A,0))&amp;")","※없는 ID")))</f>
        <v/>
      </c>
      <c r="I3" s="14">
        <v>10</v>
      </c>
      <c r="J3" s="14">
        <v>7</v>
      </c>
      <c r="K3" s="14"/>
      <c r="L3" s="14"/>
      <c r="M3" s="14"/>
      <c r="N3" s="14"/>
      <c r="O3" s="14">
        <v>13</v>
      </c>
      <c r="P3" s="16" t="s">
        <v>89</v>
      </c>
      <c r="Q3" s="17"/>
      <c r="R3" s="18" t="str">
        <f t="shared" ref="R3:R34" si="0">IF($A3="","",IF(AND($C3&lt;&gt;"",OR($C3&lt;1,$C3&gt;5,MOD($C3*2,1)&lt;&gt;0)),"자리는 1~5 (0.5단위)",IF(COUNTIFS($A$3:$A$170,$A3,$B$3:$B$170,$B3,$C$3:$C$170,$C3)&gt;1,"같은 자리 중복",IF($D3="","스킬ID 비었음",IF(COUNTIF($D$3:$D$170,$D3)&gt;1,"스킬ID 중복",IF(AND($G3&lt;&gt;"",$F3=""),"여 스케일도 필요",IF(AND($K3&lt;&gt;"",ISNA(MATCH($K3,$D$3:$D$170,0))),"선행스킬1 없음",IF(AND($L3&lt;&gt;"",ISNA(MATCH($L3,$D$3:$D$170,0))),"선행스킬2 없음",IF(AND($N3&lt;&gt;"",ISNA(MATCH($N3,$D$3:$D$170,0))),"타계열선행 없음","OK")))))))))</f>
        <v>OK</v>
      </c>
      <c r="T3" s="11" t="s">
        <v>90</v>
      </c>
      <c r="U3" s="11" t="s">
        <v>83</v>
      </c>
      <c r="V3" s="12" t="s">
        <v>91</v>
      </c>
      <c r="X3" s="11">
        <v>2</v>
      </c>
      <c r="Y3" s="12" t="s">
        <v>92</v>
      </c>
    </row>
    <row r="4" spans="1:25" ht="17.25" customHeight="1">
      <c r="A4" s="13" t="s">
        <v>86</v>
      </c>
      <c r="B4" s="14">
        <v>2</v>
      </c>
      <c r="C4" s="14">
        <v>1</v>
      </c>
      <c r="D4" s="14" t="s">
        <v>93</v>
      </c>
      <c r="E4" s="13" t="s">
        <v>94</v>
      </c>
      <c r="F4" s="14"/>
      <c r="G4" s="14"/>
      <c r="H4" s="15" t="str">
        <f>IF($F4="","",IF($G4="",IFERROR(INDEX(참조_스케일목록!$B:$B,MATCH($F4,참조_스케일목록!$A:$A,0))&amp;" ("&amp;INDEX(참조_스케일목록!$C:$C,MATCH($F4,참조_스케일목록!$A:$A,0))&amp;")","※없는 ID"),"여 "&amp;IFERROR(INDEX(참조_스케일목록!$B:$B,MATCH($F4,참조_스케일목록!$A:$A,0))&amp;" ("&amp;INDEX(참조_스케일목록!$C:$C,MATCH($F4,참조_스케일목록!$A:$A,0))&amp;")","※없는 ID")&amp;" / 남 "&amp;IFERROR(INDEX(참조_스케일목록!$B:$B,MATCH($G4,참조_스케일목록!$A:$A,0))&amp;" ("&amp;INDEX(참조_스케일목록!$C:$C,MATCH($G4,참조_스케일목록!$A:$A,0))&amp;")","※없는 ID")))</f>
        <v/>
      </c>
      <c r="I4" s="14">
        <v>10</v>
      </c>
      <c r="J4" s="14">
        <v>7</v>
      </c>
      <c r="K4" s="14" t="s">
        <v>434</v>
      </c>
      <c r="L4" s="14"/>
      <c r="M4" s="14"/>
      <c r="N4" s="14"/>
      <c r="O4" s="14"/>
      <c r="P4" s="16" t="s">
        <v>89</v>
      </c>
      <c r="Q4" s="17"/>
      <c r="R4" s="18" t="str">
        <f t="shared" si="0"/>
        <v>OK</v>
      </c>
      <c r="T4" s="11" t="s">
        <v>95</v>
      </c>
      <c r="U4" s="11" t="s">
        <v>83</v>
      </c>
      <c r="V4" s="12" t="s">
        <v>96</v>
      </c>
      <c r="X4" s="11">
        <v>3</v>
      </c>
      <c r="Y4" s="12" t="s">
        <v>97</v>
      </c>
    </row>
    <row r="5" spans="1:25" ht="17.25" customHeight="1">
      <c r="A5" s="19" t="s">
        <v>86</v>
      </c>
      <c r="B5" s="14">
        <v>2</v>
      </c>
      <c r="C5" s="14">
        <v>2</v>
      </c>
      <c r="D5" s="14" t="s">
        <v>98</v>
      </c>
      <c r="E5" s="21"/>
      <c r="F5" s="14"/>
      <c r="G5" s="14"/>
      <c r="H5" s="15"/>
      <c r="I5" s="14"/>
      <c r="J5" s="14"/>
      <c r="K5" s="14"/>
      <c r="L5" s="14"/>
      <c r="M5" s="14"/>
      <c r="N5" s="14"/>
      <c r="O5" s="14"/>
      <c r="P5" s="16" t="s">
        <v>89</v>
      </c>
      <c r="Q5" s="17"/>
      <c r="R5" s="18" t="str">
        <f t="shared" si="0"/>
        <v>OK</v>
      </c>
      <c r="T5" s="11" t="s">
        <v>100</v>
      </c>
      <c r="U5" s="11" t="s">
        <v>83</v>
      </c>
      <c r="V5" s="12" t="s">
        <v>101</v>
      </c>
      <c r="X5" s="11">
        <v>4</v>
      </c>
      <c r="Y5" s="12" t="s">
        <v>102</v>
      </c>
    </row>
    <row r="6" spans="1:25" ht="17.25" customHeight="1">
      <c r="A6" s="13" t="s">
        <v>86</v>
      </c>
      <c r="B6" s="14">
        <v>2</v>
      </c>
      <c r="C6" s="14">
        <v>3</v>
      </c>
      <c r="D6" s="14" t="s">
        <v>103</v>
      </c>
      <c r="E6" s="13" t="s">
        <v>104</v>
      </c>
      <c r="F6" s="14" t="s">
        <v>105</v>
      </c>
      <c r="G6" s="14" t="s">
        <v>106</v>
      </c>
      <c r="H6" s="15" t="str">
        <f>IF($F6="","",IF($G6="",IFERROR(INDEX(참조_스케일목록!$B:$B,MATCH($F6,참조_스케일목록!$A:$A,0))&amp;" ("&amp;INDEX(참조_스케일목록!$C:$C,MATCH($F6,참조_스케일목록!$A:$A,0))&amp;")","※없는 ID"),"여 "&amp;IFERROR(INDEX(참조_스케일목록!$B:$B,MATCH($F6,참조_스케일목록!$A:$A,0))&amp;" ("&amp;INDEX(참조_스케일목록!$C:$C,MATCH($F6,참조_스케일목록!$A:$A,0))&amp;")","※없는 ID")&amp;" / 남 "&amp;IFERROR(INDEX(참조_스케일목록!$B:$B,MATCH($G6,참조_스케일목록!$A:$A,0))&amp;" ("&amp;INDEX(참조_스케일목록!$C:$C,MATCH($G6,참조_스케일목록!$A:$A,0))&amp;")","※없는 ID")))</f>
        <v>여 5도 스케일 (흉성(여자)) / 남 5도 스케일 (흉성(남자))</v>
      </c>
      <c r="I6" s="14">
        <v>1</v>
      </c>
      <c r="J6" s="14">
        <v>7</v>
      </c>
      <c r="K6" s="14" t="s">
        <v>434</v>
      </c>
      <c r="L6" s="14"/>
      <c r="M6" s="14"/>
      <c r="N6" s="14"/>
      <c r="O6" s="14"/>
      <c r="P6" s="16" t="s">
        <v>89</v>
      </c>
      <c r="Q6" s="17"/>
      <c r="R6" s="18" t="str">
        <f t="shared" si="0"/>
        <v>OK</v>
      </c>
      <c r="T6" s="11" t="s">
        <v>438</v>
      </c>
      <c r="U6" s="11" t="s">
        <v>83</v>
      </c>
      <c r="V6" s="12" t="s">
        <v>108</v>
      </c>
      <c r="X6" s="11">
        <v>5</v>
      </c>
      <c r="Y6" s="12" t="s">
        <v>109</v>
      </c>
    </row>
    <row r="7" spans="1:25" ht="17.25" customHeight="1">
      <c r="A7" s="13" t="s">
        <v>86</v>
      </c>
      <c r="B7" s="14">
        <v>2</v>
      </c>
      <c r="C7" s="14">
        <v>4</v>
      </c>
      <c r="D7" s="14" t="s">
        <v>110</v>
      </c>
      <c r="E7" s="13"/>
      <c r="F7" s="14"/>
      <c r="G7" s="14"/>
      <c r="H7" s="15" t="str">
        <f>IF($F7="","",IF($G7="",IFERROR(INDEX(참조_스케일목록!$B:$B,MATCH($F7,참조_스케일목록!$A:$A,0))&amp;" ("&amp;INDEX(참조_스케일목록!$C:$C,MATCH($F7,참조_스케일목록!$A:$A,0))&amp;")","※없는 ID"),"여 "&amp;IFERROR(INDEX(참조_스케일목록!$B:$B,MATCH($F7,참조_스케일목록!$A:$A,0))&amp;" ("&amp;INDEX(참조_스케일목록!$C:$C,MATCH($F7,참조_스케일목록!$A:$A,0))&amp;")","※없는 ID")&amp;" / 남 "&amp;IFERROR(INDEX(참조_스케일목록!$B:$B,MATCH($G7,참조_스케일목록!$A:$A,0))&amp;" ("&amp;INDEX(참조_스케일목록!$C:$C,MATCH($G7,참조_스케일목록!$A:$A,0))&amp;")","※없는 ID")))</f>
        <v/>
      </c>
      <c r="I7" s="14"/>
      <c r="J7" s="14"/>
      <c r="K7" s="14"/>
      <c r="L7" s="14"/>
      <c r="M7" s="14"/>
      <c r="N7" s="14"/>
      <c r="O7" s="14"/>
      <c r="P7" s="16" t="s">
        <v>89</v>
      </c>
      <c r="Q7" s="17"/>
      <c r="R7" s="18" t="str">
        <f t="shared" si="0"/>
        <v>OK</v>
      </c>
      <c r="T7" s="11" t="s">
        <v>439</v>
      </c>
      <c r="U7" s="11" t="s">
        <v>83</v>
      </c>
      <c r="V7" s="12" t="s">
        <v>112</v>
      </c>
      <c r="X7" s="11">
        <v>6</v>
      </c>
      <c r="Y7" s="12" t="s">
        <v>104</v>
      </c>
    </row>
    <row r="8" spans="1:25" ht="17.25" customHeight="1">
      <c r="A8" s="19" t="s">
        <v>86</v>
      </c>
      <c r="B8" s="14">
        <v>2</v>
      </c>
      <c r="C8" s="14">
        <v>5</v>
      </c>
      <c r="D8" s="14" t="s">
        <v>113</v>
      </c>
      <c r="E8" s="21" t="s">
        <v>435</v>
      </c>
      <c r="F8" s="14"/>
      <c r="G8" s="14"/>
      <c r="H8" s="15" t="str">
        <f>IF($F8="","",IF($G8="",IFERROR(INDEX(참조_스케일목록!$B:$B,MATCH($F8,참조_스케일목록!$A:$A,0))&amp;" ("&amp;INDEX(참조_스케일목록!$C:$C,MATCH($F8,참조_스케일목록!$A:$A,0))&amp;")","※없는 ID"),"여 "&amp;IFERROR(INDEX(참조_스케일목록!$B:$B,MATCH($F8,참조_스케일목록!$A:$A,0))&amp;" ("&amp;INDEX(참조_스케일목록!$C:$C,MATCH($F8,참조_스케일목록!$A:$A,0))&amp;")","※없는 ID")&amp;" / 남 "&amp;IFERROR(INDEX(참조_스케일목록!$B:$B,MATCH($G8,참조_스케일목록!$A:$A,0))&amp;" ("&amp;INDEX(참조_스케일목록!$C:$C,MATCH($G8,참조_스케일목록!$A:$A,0))&amp;")","※없는 ID")))</f>
        <v/>
      </c>
      <c r="I8" s="14">
        <v>10</v>
      </c>
      <c r="J8" s="14">
        <v>7</v>
      </c>
      <c r="K8" s="14" t="s">
        <v>434</v>
      </c>
      <c r="L8" s="14"/>
      <c r="M8" s="14"/>
      <c r="N8" s="14"/>
      <c r="O8" s="14"/>
      <c r="P8" s="16" t="s">
        <v>89</v>
      </c>
      <c r="Q8" s="17"/>
      <c r="R8" s="18" t="str">
        <f t="shared" si="0"/>
        <v>OK</v>
      </c>
      <c r="T8" s="11" t="s">
        <v>114</v>
      </c>
      <c r="U8" s="11" t="s">
        <v>83</v>
      </c>
      <c r="V8" s="12" t="s">
        <v>115</v>
      </c>
      <c r="X8" s="11">
        <v>7</v>
      </c>
      <c r="Y8" s="12" t="s">
        <v>116</v>
      </c>
    </row>
    <row r="9" spans="1:25" ht="17.25" customHeight="1">
      <c r="A9" s="13" t="s">
        <v>86</v>
      </c>
      <c r="B9" s="14">
        <v>3</v>
      </c>
      <c r="C9" s="14">
        <v>1</v>
      </c>
      <c r="D9" s="14" t="s">
        <v>117</v>
      </c>
      <c r="E9" s="13" t="s">
        <v>118</v>
      </c>
      <c r="F9" s="14"/>
      <c r="G9" s="14"/>
      <c r="H9" s="15" t="str">
        <f>IF($F9="","",IF($G9="",IFERROR(INDEX(참조_스케일목록!$B:$B,MATCH($F9,참조_스케일목록!$A:$A,0))&amp;" ("&amp;INDEX(참조_스케일목록!$C:$C,MATCH($F9,참조_스케일목록!$A:$A,0))&amp;")","※없는 ID"),"여 "&amp;IFERROR(INDEX(참조_스케일목록!$B:$B,MATCH($F9,참조_스케일목록!$A:$A,0))&amp;" ("&amp;INDEX(참조_스케일목록!$C:$C,MATCH($F9,참조_스케일목록!$A:$A,0))&amp;")","※없는 ID")&amp;" / 남 "&amp;IFERROR(INDEX(참조_스케일목록!$B:$B,MATCH($G9,참조_스케일목록!$A:$A,0))&amp;" ("&amp;INDEX(참조_스케일목록!$C:$C,MATCH($G9,참조_스케일목록!$A:$A,0))&amp;")","※없는 ID")))</f>
        <v/>
      </c>
      <c r="I9" s="14">
        <v>1</v>
      </c>
      <c r="J9" s="14">
        <v>7</v>
      </c>
      <c r="K9" s="14"/>
      <c r="L9" s="14"/>
      <c r="M9" s="14"/>
      <c r="N9" s="14"/>
      <c r="O9" s="14"/>
      <c r="P9" s="20" t="s">
        <v>119</v>
      </c>
      <c r="Q9" s="17"/>
      <c r="R9" s="18" t="str">
        <f t="shared" si="0"/>
        <v>OK</v>
      </c>
      <c r="T9" s="11" t="s">
        <v>120</v>
      </c>
      <c r="U9" s="11" t="s">
        <v>83</v>
      </c>
      <c r="V9" s="12" t="s">
        <v>121</v>
      </c>
      <c r="X9" s="11">
        <v>8</v>
      </c>
      <c r="Y9" s="12" t="s">
        <v>122</v>
      </c>
    </row>
    <row r="10" spans="1:25" ht="17.25" customHeight="1">
      <c r="A10" s="13" t="s">
        <v>86</v>
      </c>
      <c r="B10" s="14">
        <v>3</v>
      </c>
      <c r="C10" s="14">
        <v>2</v>
      </c>
      <c r="D10" s="14" t="s">
        <v>123</v>
      </c>
      <c r="E10" s="13"/>
      <c r="F10" s="14"/>
      <c r="G10" s="14"/>
      <c r="H10" s="15" t="str">
        <f>IF($F10="","",IF($G10="",IFERROR(INDEX(참조_스케일목록!$B:$B,MATCH($F10,참조_스케일목록!$A:$A,0))&amp;" ("&amp;INDEX(참조_스케일목록!$C:$C,MATCH($F10,참조_스케일목록!$A:$A,0))&amp;")","※없는 ID"),"여 "&amp;IFERROR(INDEX(참조_스케일목록!$B:$B,MATCH($F10,참조_스케일목록!$A:$A,0))&amp;" ("&amp;INDEX(참조_스케일목록!$C:$C,MATCH($F10,참조_스케일목록!$A:$A,0))&amp;")","※없는 ID")&amp;" / 남 "&amp;IFERROR(INDEX(참조_스케일목록!$B:$B,MATCH($G10,참조_스케일목록!$A:$A,0))&amp;" ("&amp;INDEX(참조_스케일목록!$C:$C,MATCH($G10,참조_스케일목록!$A:$A,0))&amp;")","※없는 ID")))</f>
        <v/>
      </c>
      <c r="I10" s="14"/>
      <c r="J10" s="14"/>
      <c r="K10" s="14"/>
      <c r="L10" s="14"/>
      <c r="M10" s="14"/>
      <c r="N10" s="14"/>
      <c r="O10" s="14"/>
      <c r="P10" s="16" t="s">
        <v>119</v>
      </c>
      <c r="Q10" s="17"/>
      <c r="R10" s="18" t="str">
        <f t="shared" si="0"/>
        <v>OK</v>
      </c>
      <c r="T10" s="11" t="s">
        <v>125</v>
      </c>
      <c r="U10" s="11" t="s">
        <v>83</v>
      </c>
      <c r="V10" s="12" t="s">
        <v>84</v>
      </c>
      <c r="X10" s="11">
        <v>9</v>
      </c>
      <c r="Y10" s="12" t="s">
        <v>126</v>
      </c>
    </row>
    <row r="11" spans="1:25" ht="17.25" customHeight="1">
      <c r="A11" s="19" t="s">
        <v>86</v>
      </c>
      <c r="B11" s="14">
        <v>3</v>
      </c>
      <c r="C11" s="14">
        <v>3</v>
      </c>
      <c r="D11" s="14" t="s">
        <v>127</v>
      </c>
      <c r="E11" s="13" t="s">
        <v>104</v>
      </c>
      <c r="F11" s="14" t="s">
        <v>82</v>
      </c>
      <c r="G11" s="14" t="s">
        <v>90</v>
      </c>
      <c r="H11" s="15" t="str">
        <f>IF($F11="","",IF($G11="",IFERROR(INDEX(참조_스케일목록!$B:$B,MATCH($F11,참조_스케일목록!$A:$A,0))&amp;" ("&amp;INDEX(참조_스케일목록!$C:$C,MATCH($F11,참조_스케일목록!$A:$A,0))&amp;")","※없는 ID"),"여 "&amp;IFERROR(INDEX(참조_스케일목록!$B:$B,MATCH($F11,참조_스케일목록!$A:$A,0))&amp;" ("&amp;INDEX(참조_스케일목록!$C:$C,MATCH($F11,참조_스케일목록!$A:$A,0))&amp;")","※없는 ID")&amp;" / 남 "&amp;IFERROR(INDEX(참조_스케일목록!$B:$B,MATCH($G11,참조_스케일목록!$A:$A,0))&amp;" ("&amp;INDEX(참조_스케일목록!$C:$C,MATCH($G11,참조_스케일목록!$A:$A,0))&amp;")","※없는 ID")))</f>
        <v>여 3도 스케일 (흉성(여자)) / 남 3도 스케일 (흉성(남))</v>
      </c>
      <c r="I11" s="14">
        <v>1</v>
      </c>
      <c r="J11" s="14">
        <v>7</v>
      </c>
      <c r="K11" s="14"/>
      <c r="L11" s="14"/>
      <c r="M11" s="14"/>
      <c r="N11" s="14"/>
      <c r="O11" s="14"/>
      <c r="P11" s="20" t="s">
        <v>119</v>
      </c>
      <c r="Q11" s="17"/>
      <c r="R11" s="18" t="str">
        <f t="shared" si="0"/>
        <v>OK</v>
      </c>
      <c r="T11" s="11" t="s">
        <v>105</v>
      </c>
      <c r="U11" s="11" t="s">
        <v>128</v>
      </c>
      <c r="V11" s="12" t="s">
        <v>84</v>
      </c>
      <c r="X11" s="11">
        <v>10</v>
      </c>
      <c r="Y11" s="12" t="s">
        <v>129</v>
      </c>
    </row>
    <row r="12" spans="1:25" ht="17.25" customHeight="1">
      <c r="A12" s="13" t="s">
        <v>86</v>
      </c>
      <c r="B12" s="14">
        <v>3</v>
      </c>
      <c r="C12" s="14">
        <v>4</v>
      </c>
      <c r="D12" s="14" t="s">
        <v>130</v>
      </c>
      <c r="E12" s="13"/>
      <c r="F12" s="14"/>
      <c r="G12" s="14"/>
      <c r="H12" s="15" t="str">
        <f>IF($F12="","",IF($G12="",IFERROR(INDEX(참조_스케일목록!$B:$B,MATCH($F12,참조_스케일목록!$A:$A,0))&amp;" ("&amp;INDEX(참조_스케일목록!$C:$C,MATCH($F12,참조_스케일목록!$A:$A,0))&amp;")","※없는 ID"),"여 "&amp;IFERROR(INDEX(참조_스케일목록!$B:$B,MATCH($F12,참조_스케일목록!$A:$A,0))&amp;" ("&amp;INDEX(참조_스케일목록!$C:$C,MATCH($F12,참조_스케일목록!$A:$A,0))&amp;")","※없는 ID")&amp;" / 남 "&amp;IFERROR(INDEX(참조_스케일목록!$B:$B,MATCH($G12,참조_스케일목록!$A:$A,0))&amp;" ("&amp;INDEX(참조_스케일목록!$C:$C,MATCH($G12,참조_스케일목록!$A:$A,0))&amp;")","※없는 ID")))</f>
        <v/>
      </c>
      <c r="I12" s="14"/>
      <c r="J12" s="14"/>
      <c r="K12" s="14"/>
      <c r="L12" s="14"/>
      <c r="M12" s="14"/>
      <c r="N12" s="14"/>
      <c r="O12" s="14"/>
      <c r="P12" s="16" t="s">
        <v>119</v>
      </c>
      <c r="Q12" s="17"/>
      <c r="R12" s="18" t="str">
        <f t="shared" si="0"/>
        <v>OK</v>
      </c>
      <c r="T12" s="11" t="s">
        <v>106</v>
      </c>
      <c r="U12" s="11" t="s">
        <v>128</v>
      </c>
      <c r="V12" s="12" t="s">
        <v>131</v>
      </c>
      <c r="X12" s="11">
        <v>11</v>
      </c>
      <c r="Y12" s="11" t="s">
        <v>132</v>
      </c>
    </row>
    <row r="13" spans="1:25" ht="17.25" customHeight="1">
      <c r="A13" s="13" t="s">
        <v>86</v>
      </c>
      <c r="B13" s="14">
        <v>3</v>
      </c>
      <c r="C13" s="14">
        <v>5</v>
      </c>
      <c r="D13" s="14" t="s">
        <v>133</v>
      </c>
      <c r="E13" s="13" t="s">
        <v>124</v>
      </c>
      <c r="F13" s="14"/>
      <c r="G13" s="14"/>
      <c r="H13" s="15" t="str">
        <f>IF($F13="","",IF($G13="",IFERROR(INDEX(참조_스케일목록!$B:$B,MATCH($F13,참조_스케일목록!$A:$A,0))&amp;" ("&amp;INDEX(참조_스케일목록!$C:$C,MATCH($F13,참조_스케일목록!$A:$A,0))&amp;")","※없는 ID"),"여 "&amp;IFERROR(INDEX(참조_스케일목록!$B:$B,MATCH($F13,참조_스케일목록!$A:$A,0))&amp;" ("&amp;INDEX(참조_스케일목록!$C:$C,MATCH($F13,참조_스케일목록!$A:$A,0))&amp;")","※없는 ID")&amp;" / 남 "&amp;IFERROR(INDEX(참조_스케일목록!$B:$B,MATCH($G13,참조_스케일목록!$A:$A,0))&amp;" ("&amp;INDEX(참조_스케일목록!$C:$C,MATCH($G13,참조_스케일목록!$A:$A,0))&amp;")","※없는 ID")))</f>
        <v/>
      </c>
      <c r="I13" s="14">
        <v>1</v>
      </c>
      <c r="J13" s="14">
        <v>7</v>
      </c>
      <c r="K13" s="14"/>
      <c r="L13" s="14"/>
      <c r="M13" s="14"/>
      <c r="N13" s="14"/>
      <c r="O13" s="14"/>
      <c r="P13" s="20" t="s">
        <v>119</v>
      </c>
      <c r="Q13" s="17"/>
      <c r="R13" s="18" t="str">
        <f t="shared" si="0"/>
        <v>OK</v>
      </c>
      <c r="T13" s="11" t="s">
        <v>134</v>
      </c>
      <c r="U13" s="11" t="s">
        <v>128</v>
      </c>
      <c r="V13" s="12" t="s">
        <v>115</v>
      </c>
      <c r="X13" s="11">
        <v>12</v>
      </c>
      <c r="Y13" s="11" t="s">
        <v>135</v>
      </c>
    </row>
    <row r="14" spans="1:25" ht="17.25" customHeight="1">
      <c r="A14" s="19" t="s">
        <v>86</v>
      </c>
      <c r="B14" s="14">
        <v>4</v>
      </c>
      <c r="C14" s="14">
        <v>1</v>
      </c>
      <c r="D14" s="14" t="s">
        <v>136</v>
      </c>
      <c r="E14" s="13" t="s">
        <v>137</v>
      </c>
      <c r="F14" s="14" t="s">
        <v>82</v>
      </c>
      <c r="G14" s="14" t="s">
        <v>90</v>
      </c>
      <c r="H14" s="15" t="str">
        <f>IF($F14="","",IF($G14="",IFERROR(INDEX(참조_스케일목록!$B:$B,MATCH($F14,참조_스케일목록!$A:$A,0))&amp;" ("&amp;INDEX(참조_스케일목록!$C:$C,MATCH($F14,참조_스케일목록!$A:$A,0))&amp;")","※없는 ID"),"여 "&amp;IFERROR(INDEX(참조_스케일목록!$B:$B,MATCH($F14,참조_스케일목록!$A:$A,0))&amp;" ("&amp;INDEX(참조_스케일목록!$C:$C,MATCH($F14,참조_스케일목록!$A:$A,0))&amp;")","※없는 ID")&amp;" / 남 "&amp;IFERROR(INDEX(참조_스케일목록!$B:$B,MATCH($G14,참조_스케일목록!$A:$A,0))&amp;" ("&amp;INDEX(참조_스케일목록!$C:$C,MATCH($G14,참조_스케일목록!$A:$A,0))&amp;")","※없는 ID")))</f>
        <v>여 3도 스케일 (흉성(여자)) / 남 3도 스케일 (흉성(남))</v>
      </c>
      <c r="I14" s="14">
        <v>1</v>
      </c>
      <c r="J14" s="14">
        <v>7</v>
      </c>
      <c r="K14" s="14"/>
      <c r="L14" s="14"/>
      <c r="M14" s="14"/>
      <c r="N14" s="14"/>
      <c r="O14" s="14"/>
      <c r="P14" s="16" t="s">
        <v>119</v>
      </c>
      <c r="Q14" s="17"/>
      <c r="R14" s="18" t="str">
        <f t="shared" si="0"/>
        <v>OK</v>
      </c>
      <c r="T14" s="11" t="s">
        <v>138</v>
      </c>
      <c r="U14" s="11" t="s">
        <v>128</v>
      </c>
      <c r="V14" s="12" t="s">
        <v>121</v>
      </c>
      <c r="X14" s="11">
        <v>13</v>
      </c>
      <c r="Y14" s="11" t="s">
        <v>139</v>
      </c>
    </row>
    <row r="15" spans="1:25" ht="17.25" customHeight="1">
      <c r="A15" s="13" t="s">
        <v>86</v>
      </c>
      <c r="B15" s="14">
        <v>4</v>
      </c>
      <c r="C15" s="14">
        <v>2</v>
      </c>
      <c r="D15" s="14" t="s">
        <v>140</v>
      </c>
      <c r="E15" s="13"/>
      <c r="F15" s="14"/>
      <c r="G15" s="14"/>
      <c r="H15" s="15"/>
      <c r="I15" s="14"/>
      <c r="J15" s="14"/>
      <c r="K15" s="14"/>
      <c r="L15" s="14"/>
      <c r="M15" s="14"/>
      <c r="N15" s="14"/>
      <c r="O15" s="14"/>
      <c r="P15" s="20" t="s">
        <v>119</v>
      </c>
      <c r="Q15" s="17"/>
      <c r="R15" s="18" t="str">
        <f t="shared" si="0"/>
        <v>OK</v>
      </c>
      <c r="T15" s="11" t="s">
        <v>142</v>
      </c>
      <c r="U15" s="11" t="s">
        <v>128</v>
      </c>
      <c r="V15" s="12" t="s">
        <v>143</v>
      </c>
      <c r="X15" s="11">
        <v>14</v>
      </c>
      <c r="Y15" s="11" t="s">
        <v>144</v>
      </c>
    </row>
    <row r="16" spans="1:25" ht="17.25" customHeight="1">
      <c r="A16" s="13" t="s">
        <v>86</v>
      </c>
      <c r="B16" s="14">
        <v>4</v>
      </c>
      <c r="C16" s="14">
        <v>3</v>
      </c>
      <c r="D16" s="14" t="s">
        <v>145</v>
      </c>
      <c r="E16" s="13"/>
      <c r="F16" s="14"/>
      <c r="G16" s="14"/>
      <c r="H16" s="15" t="str">
        <f>IF($F16="","",IF($G16="",IFERROR(INDEX(참조_스케일목록!$B:$B,MATCH($F16,참조_스케일목록!$A:$A,0))&amp;" ("&amp;INDEX(참조_스케일목록!$C:$C,MATCH($F16,참조_스케일목록!$A:$A,0))&amp;")","※없는 ID"),"여 "&amp;IFERROR(INDEX(참조_스케일목록!$B:$B,MATCH($F16,참조_스케일목록!$A:$A,0))&amp;" ("&amp;INDEX(참조_스케일목록!$C:$C,MATCH($F16,참조_스케일목록!$A:$A,0))&amp;")","※없는 ID")&amp;" / 남 "&amp;IFERROR(INDEX(참조_스케일목록!$B:$B,MATCH($G16,참조_스케일목록!$A:$A,0))&amp;" ("&amp;INDEX(참조_스케일목록!$C:$C,MATCH($G16,참조_스케일목록!$A:$A,0))&amp;")","※없는 ID")))</f>
        <v/>
      </c>
      <c r="I16" s="14"/>
      <c r="J16" s="14"/>
      <c r="K16" s="14"/>
      <c r="L16" s="14"/>
      <c r="M16" s="14"/>
      <c r="N16" s="14"/>
      <c r="O16" s="14"/>
      <c r="P16" s="16" t="s">
        <v>119</v>
      </c>
      <c r="Q16" s="17"/>
      <c r="R16" s="18" t="str">
        <f t="shared" si="0"/>
        <v>OK</v>
      </c>
      <c r="T16" s="11" t="s">
        <v>146</v>
      </c>
      <c r="U16" s="11" t="s">
        <v>128</v>
      </c>
      <c r="V16" s="12" t="s">
        <v>147</v>
      </c>
      <c r="X16" s="11">
        <v>15</v>
      </c>
      <c r="Y16" s="11" t="s">
        <v>148</v>
      </c>
    </row>
    <row r="17" spans="1:25" ht="17.25" customHeight="1">
      <c r="A17" s="19" t="s">
        <v>86</v>
      </c>
      <c r="B17" s="14">
        <v>4</v>
      </c>
      <c r="C17" s="14">
        <v>4</v>
      </c>
      <c r="D17" s="14" t="s">
        <v>149</v>
      </c>
      <c r="E17" s="13"/>
      <c r="F17" s="14"/>
      <c r="G17" s="14"/>
      <c r="H17" s="15" t="str">
        <f>IF($F17="","",IF($G17="",IFERROR(INDEX(참조_스케일목록!$B:$B,MATCH($F17,참조_스케일목록!$A:$A,0))&amp;" ("&amp;INDEX(참조_스케일목록!$C:$C,MATCH($F17,참조_스케일목록!$A:$A,0))&amp;")","※없는 ID"),"여 "&amp;IFERROR(INDEX(참조_스케일목록!$B:$B,MATCH($F17,참조_스케일목록!$A:$A,0))&amp;" ("&amp;INDEX(참조_스케일목록!$C:$C,MATCH($F17,참조_스케일목록!$A:$A,0))&amp;")","※없는 ID")&amp;" / 남 "&amp;IFERROR(INDEX(참조_스케일목록!$B:$B,MATCH($G17,참조_스케일목록!$A:$A,0))&amp;" ("&amp;INDEX(참조_스케일목록!$C:$C,MATCH($G17,참조_스케일목록!$A:$A,0))&amp;")","※없는 ID")))</f>
        <v/>
      </c>
      <c r="I17" s="14"/>
      <c r="J17" s="14"/>
      <c r="K17" s="14"/>
      <c r="L17" s="14"/>
      <c r="M17" s="14"/>
      <c r="N17" s="14"/>
      <c r="O17" s="14"/>
      <c r="P17" s="20" t="s">
        <v>119</v>
      </c>
      <c r="Q17" s="17"/>
      <c r="R17" s="18" t="str">
        <f t="shared" si="0"/>
        <v>OK</v>
      </c>
      <c r="T17" s="11" t="s">
        <v>150</v>
      </c>
      <c r="U17" s="11" t="s">
        <v>128</v>
      </c>
      <c r="V17" s="12" t="s">
        <v>151</v>
      </c>
      <c r="X17" s="11">
        <v>16</v>
      </c>
      <c r="Y17" s="11" t="s">
        <v>152</v>
      </c>
    </row>
    <row r="18" spans="1:25" ht="17.25" customHeight="1">
      <c r="A18" s="13" t="s">
        <v>86</v>
      </c>
      <c r="B18" s="14">
        <v>4</v>
      </c>
      <c r="C18" s="14">
        <v>5</v>
      </c>
      <c r="D18" s="14" t="s">
        <v>153</v>
      </c>
      <c r="E18" s="13" t="s">
        <v>141</v>
      </c>
      <c r="F18" s="14" t="s">
        <v>82</v>
      </c>
      <c r="G18" s="14" t="s">
        <v>90</v>
      </c>
      <c r="H18" s="15" t="str">
        <f>IF($F18="","",IF($G18="",IFERROR(INDEX(참조_스케일목록!$B:$B,MATCH($F18,참조_스케일목록!$A:$A,0))&amp;" ("&amp;INDEX(참조_스케일목록!$C:$C,MATCH($F18,참조_스케일목록!$A:$A,0))&amp;")","※없는 ID"),"여 "&amp;IFERROR(INDEX(참조_스케일목록!$B:$B,MATCH($F18,참조_스케일목록!$A:$A,0))&amp;" ("&amp;INDEX(참조_스케일목록!$C:$C,MATCH($F18,참조_스케일목록!$A:$A,0))&amp;")","※없는 ID")&amp;" / 남 "&amp;IFERROR(INDEX(참조_스케일목록!$B:$B,MATCH($G18,참조_스케일목록!$A:$A,0))&amp;" ("&amp;INDEX(참조_스케일목록!$C:$C,MATCH($G18,참조_스케일목록!$A:$A,0))&amp;")","※없는 ID")))</f>
        <v>여 3도 스케일 (흉성(여자)) / 남 3도 스케일 (흉성(남))</v>
      </c>
      <c r="I18" s="14">
        <v>1</v>
      </c>
      <c r="J18" s="14">
        <v>7</v>
      </c>
      <c r="K18" s="14"/>
      <c r="L18" s="14"/>
      <c r="M18" s="14"/>
      <c r="N18" s="14"/>
      <c r="O18" s="14"/>
      <c r="P18" s="16" t="s">
        <v>119</v>
      </c>
      <c r="Q18" s="17"/>
      <c r="R18" s="18" t="str">
        <f t="shared" si="0"/>
        <v>OK</v>
      </c>
      <c r="T18" s="11" t="s">
        <v>154</v>
      </c>
      <c r="U18" s="11" t="s">
        <v>128</v>
      </c>
      <c r="V18" s="12" t="s">
        <v>155</v>
      </c>
      <c r="X18" s="11">
        <v>17</v>
      </c>
      <c r="Y18" s="12" t="s">
        <v>156</v>
      </c>
    </row>
    <row r="19" spans="1:25" ht="17.25" customHeight="1">
      <c r="A19" s="13" t="s">
        <v>86</v>
      </c>
      <c r="B19" s="14">
        <v>5</v>
      </c>
      <c r="C19" s="14">
        <v>1</v>
      </c>
      <c r="D19" s="14" t="s">
        <v>157</v>
      </c>
      <c r="E19" s="13" t="s">
        <v>158</v>
      </c>
      <c r="F19" s="14" t="s">
        <v>82</v>
      </c>
      <c r="G19" s="14" t="s">
        <v>90</v>
      </c>
      <c r="H19" s="15" t="str">
        <f>IF($F19="","",IF($G19="",IFERROR(INDEX(참조_스케일목록!$B:$B,MATCH($F19,참조_스케일목록!$A:$A,0))&amp;" ("&amp;INDEX(참조_스케일목록!$C:$C,MATCH($F19,참조_스케일목록!$A:$A,0))&amp;")","※없는 ID"),"여 "&amp;IFERROR(INDEX(참조_스케일목록!$B:$B,MATCH($F19,참조_스케일목록!$A:$A,0))&amp;" ("&amp;INDEX(참조_스케일목록!$C:$C,MATCH($F19,참조_스케일목록!$A:$A,0))&amp;")","※없는 ID")&amp;" / 남 "&amp;IFERROR(INDEX(참조_스케일목록!$B:$B,MATCH($G19,참조_스케일목록!$A:$A,0))&amp;" ("&amp;INDEX(참조_스케일목록!$C:$C,MATCH($G19,참조_스케일목록!$A:$A,0))&amp;")","※없는 ID")))</f>
        <v>여 3도 스케일 (흉성(여자)) / 남 3도 스케일 (흉성(남))</v>
      </c>
      <c r="I19" s="14">
        <v>1</v>
      </c>
      <c r="J19" s="14">
        <v>7</v>
      </c>
      <c r="K19" s="14"/>
      <c r="L19" s="14"/>
      <c r="M19" s="14"/>
      <c r="N19" s="14"/>
      <c r="O19" s="14"/>
      <c r="P19" s="20" t="s">
        <v>119</v>
      </c>
      <c r="Q19" s="17"/>
      <c r="R19" s="18" t="str">
        <f t="shared" si="0"/>
        <v>OK</v>
      </c>
      <c r="T19" s="11" t="s">
        <v>159</v>
      </c>
      <c r="U19" s="11" t="s">
        <v>128</v>
      </c>
      <c r="V19" s="12" t="s">
        <v>160</v>
      </c>
      <c r="X19" s="11">
        <v>18</v>
      </c>
      <c r="Y19" s="12" t="s">
        <v>161</v>
      </c>
    </row>
    <row r="20" spans="1:25" ht="17.25" customHeight="1">
      <c r="A20" s="19" t="s">
        <v>86</v>
      </c>
      <c r="B20" s="14">
        <v>5</v>
      </c>
      <c r="C20" s="14">
        <v>2</v>
      </c>
      <c r="D20" s="14" t="s">
        <v>162</v>
      </c>
      <c r="E20" s="21"/>
      <c r="F20" s="14"/>
      <c r="G20" s="14"/>
      <c r="H20" s="15"/>
      <c r="I20" s="14"/>
      <c r="J20" s="14"/>
      <c r="K20" s="14"/>
      <c r="L20" s="14"/>
      <c r="M20" s="14"/>
      <c r="N20" s="14"/>
      <c r="O20" s="14"/>
      <c r="P20" s="16" t="s">
        <v>119</v>
      </c>
      <c r="Q20" s="17"/>
      <c r="R20" s="18" t="str">
        <f t="shared" si="0"/>
        <v>OK</v>
      </c>
      <c r="T20" s="11" t="s">
        <v>164</v>
      </c>
      <c r="U20" s="11" t="s">
        <v>128</v>
      </c>
      <c r="V20" s="12" t="s">
        <v>165</v>
      </c>
      <c r="X20" s="11">
        <v>19</v>
      </c>
      <c r="Y20" s="12" t="s">
        <v>166</v>
      </c>
    </row>
    <row r="21" spans="1:25" ht="17.25" customHeight="1">
      <c r="A21" s="13" t="s">
        <v>86</v>
      </c>
      <c r="B21" s="14">
        <v>5</v>
      </c>
      <c r="C21" s="14">
        <v>3</v>
      </c>
      <c r="D21" s="14" t="s">
        <v>167</v>
      </c>
      <c r="E21" s="13"/>
      <c r="F21" s="14"/>
      <c r="G21" s="14"/>
      <c r="H21" s="15" t="str">
        <f>IF($F21="","",IF($G21="",IFERROR(INDEX(참조_스케일목록!$B:$B,MATCH($F21,참조_스케일목록!$A:$A,0))&amp;" ("&amp;INDEX(참조_스케일목록!$C:$C,MATCH($F21,참조_스케일목록!$A:$A,0))&amp;")","※없는 ID"),"여 "&amp;IFERROR(INDEX(참조_스케일목록!$B:$B,MATCH($F21,참조_스케일목록!$A:$A,0))&amp;" ("&amp;INDEX(참조_스케일목록!$C:$C,MATCH($F21,참조_스케일목록!$A:$A,0))&amp;")","※없는 ID")&amp;" / 남 "&amp;IFERROR(INDEX(참조_스케일목록!$B:$B,MATCH($G21,참조_스케일목록!$A:$A,0))&amp;" ("&amp;INDEX(참조_스케일목록!$C:$C,MATCH($G21,참조_스케일목록!$A:$A,0))&amp;")","※없는 ID")))</f>
        <v/>
      </c>
      <c r="I21" s="14"/>
      <c r="J21" s="14"/>
      <c r="K21" s="14"/>
      <c r="L21" s="14"/>
      <c r="M21" s="14"/>
      <c r="N21" s="14"/>
      <c r="O21" s="14"/>
      <c r="P21" s="20" t="s">
        <v>119</v>
      </c>
      <c r="Q21" s="17"/>
      <c r="R21" s="18" t="str">
        <f t="shared" si="0"/>
        <v>OK</v>
      </c>
      <c r="T21" s="11" t="s">
        <v>168</v>
      </c>
      <c r="U21" s="11" t="s">
        <v>169</v>
      </c>
      <c r="V21" s="12" t="s">
        <v>84</v>
      </c>
      <c r="X21" s="11">
        <v>20</v>
      </c>
      <c r="Y21" s="12" t="s">
        <v>170</v>
      </c>
    </row>
    <row r="22" spans="1:25" ht="17.25" customHeight="1">
      <c r="A22" s="13" t="s">
        <v>86</v>
      </c>
      <c r="B22" s="14">
        <v>5</v>
      </c>
      <c r="C22" s="14">
        <v>4</v>
      </c>
      <c r="D22" s="14" t="s">
        <v>171</v>
      </c>
      <c r="E22" s="13"/>
      <c r="F22" s="14"/>
      <c r="G22" s="14"/>
      <c r="H22" s="15" t="str">
        <f>IF($F22="","",IF($G22="",IFERROR(INDEX(참조_스케일목록!$B:$B,MATCH($F22,참조_스케일목록!$A:$A,0))&amp;" ("&amp;INDEX(참조_스케일목록!$C:$C,MATCH($F22,참조_스케일목록!$A:$A,0))&amp;")","※없는 ID"),"여 "&amp;IFERROR(INDEX(참조_스케일목록!$B:$B,MATCH($F22,참조_스케일목록!$A:$A,0))&amp;" ("&amp;INDEX(참조_스케일목록!$C:$C,MATCH($F22,참조_스케일목록!$A:$A,0))&amp;")","※없는 ID")&amp;" / 남 "&amp;IFERROR(INDEX(참조_스케일목록!$B:$B,MATCH($G22,참조_스케일목록!$A:$A,0))&amp;" ("&amp;INDEX(참조_스케일목록!$C:$C,MATCH($G22,참조_스케일목록!$A:$A,0))&amp;")","※없는 ID")))</f>
        <v/>
      </c>
      <c r="I22" s="14"/>
      <c r="J22" s="14"/>
      <c r="K22" s="14"/>
      <c r="L22" s="14"/>
      <c r="M22" s="14"/>
      <c r="N22" s="14"/>
      <c r="O22" s="14"/>
      <c r="P22" s="16" t="s">
        <v>119</v>
      </c>
      <c r="Q22" s="17"/>
      <c r="R22" s="18" t="str">
        <f t="shared" si="0"/>
        <v>OK</v>
      </c>
      <c r="T22" s="11" t="s">
        <v>172</v>
      </c>
      <c r="U22" s="11" t="s">
        <v>169</v>
      </c>
      <c r="V22" s="12" t="s">
        <v>131</v>
      </c>
      <c r="X22" s="11">
        <v>21</v>
      </c>
      <c r="Y22" s="12" t="s">
        <v>88</v>
      </c>
    </row>
    <row r="23" spans="1:25" ht="17.25" customHeight="1">
      <c r="A23" s="19" t="s">
        <v>86</v>
      </c>
      <c r="B23" s="14">
        <v>5</v>
      </c>
      <c r="C23" s="14">
        <v>5</v>
      </c>
      <c r="D23" s="14" t="s">
        <v>173</v>
      </c>
      <c r="E23" s="21" t="s">
        <v>163</v>
      </c>
      <c r="F23" s="14" t="s">
        <v>82</v>
      </c>
      <c r="G23" s="14" t="s">
        <v>90</v>
      </c>
      <c r="H23" s="15" t="str">
        <f>IF($F23="","",IF($G23="",IFERROR(INDEX(참조_스케일목록!$B:$B,MATCH($F23,참조_스케일목록!$A:$A,0))&amp;" ("&amp;INDEX(참조_스케일목록!$C:$C,MATCH($F23,참조_스케일목록!$A:$A,0))&amp;")","※없는 ID"),"여 "&amp;IFERROR(INDEX(참조_스케일목록!$B:$B,MATCH($F23,참조_스케일목록!$A:$A,0))&amp;" ("&amp;INDEX(참조_스케일목록!$C:$C,MATCH($F23,참조_스케일목록!$A:$A,0))&amp;")","※없는 ID")&amp;" / 남 "&amp;IFERROR(INDEX(참조_스케일목록!$B:$B,MATCH($G23,참조_스케일목록!$A:$A,0))&amp;" ("&amp;INDEX(참조_스케일목록!$C:$C,MATCH($G23,참조_스케일목록!$A:$A,0))&amp;")","※없는 ID")))</f>
        <v>여 3도 스케일 (흉성(여자)) / 남 3도 스케일 (흉성(남))</v>
      </c>
      <c r="I23" s="14">
        <v>1</v>
      </c>
      <c r="J23" s="14">
        <v>7</v>
      </c>
      <c r="K23" s="14"/>
      <c r="L23" s="14"/>
      <c r="M23" s="14"/>
      <c r="N23" s="14"/>
      <c r="O23" s="14"/>
      <c r="P23" s="20" t="s">
        <v>119</v>
      </c>
      <c r="Q23" s="17"/>
      <c r="R23" s="18" t="str">
        <f t="shared" si="0"/>
        <v>OK</v>
      </c>
      <c r="T23" s="11" t="s">
        <v>174</v>
      </c>
      <c r="U23" s="11" t="s">
        <v>169</v>
      </c>
      <c r="V23" s="12" t="s">
        <v>115</v>
      </c>
      <c r="X23" s="11">
        <v>22</v>
      </c>
      <c r="Y23" s="12" t="s">
        <v>94</v>
      </c>
    </row>
    <row r="24" spans="1:25" ht="17.25" customHeight="1">
      <c r="A24" s="13" t="s">
        <v>86</v>
      </c>
      <c r="B24" s="14">
        <v>6</v>
      </c>
      <c r="C24" s="14">
        <v>1</v>
      </c>
      <c r="D24" s="14" t="s">
        <v>175</v>
      </c>
      <c r="E24" s="13" t="s">
        <v>176</v>
      </c>
      <c r="F24" s="14" t="s">
        <v>82</v>
      </c>
      <c r="G24" s="14" t="s">
        <v>90</v>
      </c>
      <c r="H24" s="15" t="str">
        <f>IF($F24="","",IF($G24="",IFERROR(INDEX(참조_스케일목록!$B:$B,MATCH($F24,참조_스케일목록!$A:$A,0))&amp;" ("&amp;INDEX(참조_스케일목록!$C:$C,MATCH($F24,참조_스케일목록!$A:$A,0))&amp;")","※없는 ID"),"여 "&amp;IFERROR(INDEX(참조_스케일목록!$B:$B,MATCH($F24,참조_스케일목록!$A:$A,0))&amp;" ("&amp;INDEX(참조_스케일목록!$C:$C,MATCH($F24,참조_스케일목록!$A:$A,0))&amp;")","※없는 ID")&amp;" / 남 "&amp;IFERROR(INDEX(참조_스케일목록!$B:$B,MATCH($G24,참조_스케일목록!$A:$A,0))&amp;" ("&amp;INDEX(참조_스케일목록!$C:$C,MATCH($G24,참조_스케일목록!$A:$A,0))&amp;")","※없는 ID")))</f>
        <v>여 3도 스케일 (흉성(여자)) / 남 3도 스케일 (흉성(남))</v>
      </c>
      <c r="I24" s="14">
        <v>1</v>
      </c>
      <c r="J24" s="14">
        <v>7</v>
      </c>
      <c r="K24" s="14"/>
      <c r="L24" s="14"/>
      <c r="M24" s="14"/>
      <c r="N24" s="14"/>
      <c r="O24" s="14"/>
      <c r="P24" s="16" t="s">
        <v>119</v>
      </c>
      <c r="Q24" s="17"/>
      <c r="R24" s="18" t="str">
        <f t="shared" si="0"/>
        <v>OK</v>
      </c>
      <c r="T24" s="11" t="s">
        <v>177</v>
      </c>
      <c r="U24" s="11" t="s">
        <v>169</v>
      </c>
      <c r="V24" s="12" t="s">
        <v>121</v>
      </c>
      <c r="X24" s="11">
        <v>23</v>
      </c>
      <c r="Y24" s="12" t="s">
        <v>118</v>
      </c>
    </row>
    <row r="25" spans="1:25" ht="17.25" customHeight="1">
      <c r="A25" s="13" t="s">
        <v>86</v>
      </c>
      <c r="B25" s="14">
        <v>6</v>
      </c>
      <c r="C25" s="14">
        <v>2</v>
      </c>
      <c r="D25" s="14" t="s">
        <v>178</v>
      </c>
      <c r="E25" s="13"/>
      <c r="F25" s="14"/>
      <c r="G25" s="14"/>
      <c r="H25" s="15"/>
      <c r="I25" s="14"/>
      <c r="J25" s="14"/>
      <c r="K25" s="14"/>
      <c r="L25" s="14"/>
      <c r="M25" s="14"/>
      <c r="N25" s="14"/>
      <c r="O25" s="14"/>
      <c r="P25" s="20" t="s">
        <v>119</v>
      </c>
      <c r="Q25" s="17"/>
      <c r="R25" s="18" t="str">
        <f t="shared" si="0"/>
        <v>OK</v>
      </c>
      <c r="T25" s="11" t="s">
        <v>406</v>
      </c>
      <c r="U25" s="11" t="s">
        <v>169</v>
      </c>
      <c r="V25" s="12" t="s">
        <v>147</v>
      </c>
      <c r="X25" s="11">
        <v>24</v>
      </c>
      <c r="Y25" s="12" t="s">
        <v>181</v>
      </c>
    </row>
    <row r="26" spans="1:25" ht="17.25" customHeight="1">
      <c r="A26" s="19" t="s">
        <v>86</v>
      </c>
      <c r="B26" s="14">
        <v>6</v>
      </c>
      <c r="C26" s="14">
        <v>3</v>
      </c>
      <c r="D26" s="14" t="s">
        <v>182</v>
      </c>
      <c r="E26" s="13"/>
      <c r="F26" s="14"/>
      <c r="G26" s="14"/>
      <c r="H26" s="15" t="str">
        <f>IF($F26="","",IF($G26="",IFERROR(INDEX(참조_스케일목록!$B:$B,MATCH($F26,참조_스케일목록!$A:$A,0))&amp;" ("&amp;INDEX(참조_스케일목록!$C:$C,MATCH($F26,참조_스케일목록!$A:$A,0))&amp;")","※없는 ID"),"여 "&amp;IFERROR(INDEX(참조_스케일목록!$B:$B,MATCH($F26,참조_스케일목록!$A:$A,0))&amp;" ("&amp;INDEX(참조_스케일목록!$C:$C,MATCH($F26,참조_스케일목록!$A:$A,0))&amp;")","※없는 ID")&amp;" / 남 "&amp;IFERROR(INDEX(참조_스케일목록!$B:$B,MATCH($G26,참조_스케일목록!$A:$A,0))&amp;" ("&amp;INDEX(참조_스케일목록!$C:$C,MATCH($G26,참조_스케일목록!$A:$A,0))&amp;")","※없는 ID")))</f>
        <v/>
      </c>
      <c r="I26" s="14"/>
      <c r="J26" s="14"/>
      <c r="K26" s="14"/>
      <c r="L26" s="14"/>
      <c r="M26" s="14"/>
      <c r="N26" s="14"/>
      <c r="O26" s="14"/>
      <c r="P26" s="16" t="s">
        <v>119</v>
      </c>
      <c r="Q26" s="17"/>
      <c r="R26" s="18" t="str">
        <f t="shared" si="0"/>
        <v>OK</v>
      </c>
      <c r="T26" s="11" t="s">
        <v>407</v>
      </c>
      <c r="U26" s="11" t="s">
        <v>169</v>
      </c>
      <c r="V26" s="12" t="s">
        <v>151</v>
      </c>
      <c r="X26" s="12">
        <v>25</v>
      </c>
      <c r="Y26" s="12" t="s">
        <v>184</v>
      </c>
    </row>
    <row r="27" spans="1:25" ht="17.25" customHeight="1">
      <c r="A27" s="13" t="s">
        <v>86</v>
      </c>
      <c r="B27" s="14">
        <v>6</v>
      </c>
      <c r="C27" s="14">
        <v>4</v>
      </c>
      <c r="D27" s="14" t="s">
        <v>185</v>
      </c>
      <c r="E27" s="13"/>
      <c r="F27" s="14"/>
      <c r="G27" s="14"/>
      <c r="H27" s="15" t="str">
        <f>IF($F27="","",IF($G27="",IFERROR(INDEX(참조_스케일목록!$B:$B,MATCH($F27,참조_스케일목록!$A:$A,0))&amp;" ("&amp;INDEX(참조_스케일목록!$C:$C,MATCH($F27,참조_스케일목록!$A:$A,0))&amp;")","※없는 ID"),"여 "&amp;IFERROR(INDEX(참조_스케일목록!$B:$B,MATCH($F27,참조_스케일목록!$A:$A,0))&amp;" ("&amp;INDEX(참조_스케일목록!$C:$C,MATCH($F27,참조_스케일목록!$A:$A,0))&amp;")","※없는 ID")&amp;" / 남 "&amp;IFERROR(INDEX(참조_스케일목록!$B:$B,MATCH($G27,참조_스케일목록!$A:$A,0))&amp;" ("&amp;INDEX(참조_스케일목록!$C:$C,MATCH($G27,참조_스케일목록!$A:$A,0))&amp;")","※없는 ID")))</f>
        <v/>
      </c>
      <c r="I27" s="14"/>
      <c r="J27" s="14"/>
      <c r="K27" s="14"/>
      <c r="L27" s="14"/>
      <c r="M27" s="14"/>
      <c r="N27" s="14"/>
      <c r="O27" s="14"/>
      <c r="P27" s="16" t="s">
        <v>119</v>
      </c>
      <c r="Q27" s="17"/>
      <c r="R27" s="18" t="str">
        <f t="shared" si="0"/>
        <v>OK</v>
      </c>
      <c r="T27" s="11" t="s">
        <v>186</v>
      </c>
      <c r="U27" s="11" t="s">
        <v>169</v>
      </c>
      <c r="V27" s="12" t="s">
        <v>155</v>
      </c>
      <c r="X27" s="12">
        <v>26</v>
      </c>
      <c r="Y27" s="12" t="s">
        <v>187</v>
      </c>
    </row>
    <row r="28" spans="1:25" ht="17.25" customHeight="1">
      <c r="A28" s="13" t="s">
        <v>86</v>
      </c>
      <c r="B28" s="14">
        <v>6</v>
      </c>
      <c r="C28" s="14">
        <v>5</v>
      </c>
      <c r="D28" s="14" t="s">
        <v>188</v>
      </c>
      <c r="E28" s="13" t="s">
        <v>179</v>
      </c>
      <c r="F28" s="14" t="s">
        <v>82</v>
      </c>
      <c r="G28" s="14" t="s">
        <v>90</v>
      </c>
      <c r="H28" s="15" t="str">
        <f>IF($F28="","",IF($G28="",IFERROR(INDEX(참조_스케일목록!$B:$B,MATCH($F28,참조_스케일목록!$A:$A,0))&amp;" ("&amp;INDEX(참조_스케일목록!$C:$C,MATCH($F28,참조_스케일목록!$A:$A,0))&amp;")","※없는 ID"),"여 "&amp;IFERROR(INDEX(참조_스케일목록!$B:$B,MATCH($F28,참조_스케일목록!$A:$A,0))&amp;" ("&amp;INDEX(참조_스케일목록!$C:$C,MATCH($F28,참조_스케일목록!$A:$A,0))&amp;")","※없는 ID")&amp;" / 남 "&amp;IFERROR(INDEX(참조_스케일목록!$B:$B,MATCH($G28,참조_스케일목록!$A:$A,0))&amp;" ("&amp;INDEX(참조_스케일목록!$C:$C,MATCH($G28,참조_스케일목록!$A:$A,0))&amp;")","※없는 ID")))</f>
        <v>여 3도 스케일 (흉성(여자)) / 남 3도 스케일 (흉성(남))</v>
      </c>
      <c r="I28" s="14">
        <v>1</v>
      </c>
      <c r="J28" s="14">
        <v>7</v>
      </c>
      <c r="K28" s="14"/>
      <c r="L28" s="14"/>
      <c r="M28" s="14"/>
      <c r="N28" s="14"/>
      <c r="O28" s="14"/>
      <c r="P28" s="16" t="s">
        <v>119</v>
      </c>
      <c r="Q28" s="17"/>
      <c r="R28" s="18" t="str">
        <f t="shared" si="0"/>
        <v>OK</v>
      </c>
      <c r="T28" s="11" t="s">
        <v>189</v>
      </c>
      <c r="U28" s="11" t="s">
        <v>169</v>
      </c>
      <c r="V28" s="12" t="s">
        <v>160</v>
      </c>
      <c r="X28" s="12">
        <v>27</v>
      </c>
      <c r="Y28" s="12" t="s">
        <v>190</v>
      </c>
    </row>
    <row r="29" spans="1:25" ht="17.25" customHeight="1">
      <c r="A29" s="13" t="s">
        <v>191</v>
      </c>
      <c r="B29" s="14">
        <v>1</v>
      </c>
      <c r="C29" s="14">
        <v>1</v>
      </c>
      <c r="D29" s="14" t="s">
        <v>192</v>
      </c>
      <c r="E29" s="13"/>
      <c r="F29" s="14"/>
      <c r="G29" s="14"/>
      <c r="H29" s="15" t="str">
        <f>IF($F29="","",IF($G29="",IFERROR(INDEX(참조_스케일목록!$B:$B,MATCH($F29,참조_스케일목록!$A:$A,0))&amp;" ("&amp;INDEX(참조_스케일목록!$C:$C,MATCH($F29,참조_스케일목록!$A:$A,0))&amp;")","※없는 ID"),"여 "&amp;IFERROR(INDEX(참조_스케일목록!$B:$B,MATCH($F29,참조_스케일목록!$A:$A,0))&amp;" ("&amp;INDEX(참조_스케일목록!$C:$C,MATCH($F29,참조_스케일목록!$A:$A,0))&amp;")","※없는 ID")&amp;" / 남 "&amp;IFERROR(INDEX(참조_스케일목록!$B:$B,MATCH($G29,참조_스케일목록!$A:$A,0))&amp;" ("&amp;INDEX(참조_스케일목록!$C:$C,MATCH($G29,참조_스케일목록!$A:$A,0))&amp;")","※없는 ID")))</f>
        <v/>
      </c>
      <c r="I29" s="14"/>
      <c r="J29" s="14"/>
      <c r="K29" s="14"/>
      <c r="L29" s="14"/>
      <c r="M29" s="14"/>
      <c r="N29" s="14"/>
      <c r="O29" s="14"/>
      <c r="P29" s="16" t="s">
        <v>89</v>
      </c>
      <c r="Q29" s="17"/>
      <c r="R29" s="18" t="str">
        <f t="shared" si="0"/>
        <v>OK</v>
      </c>
      <c r="T29" s="11" t="s">
        <v>193</v>
      </c>
      <c r="U29" s="11" t="s">
        <v>169</v>
      </c>
      <c r="V29" s="12" t="s">
        <v>165</v>
      </c>
      <c r="X29" s="12"/>
      <c r="Y29" s="12"/>
    </row>
    <row r="30" spans="1:25" ht="17.25" customHeight="1">
      <c r="A30" s="13" t="s">
        <v>191</v>
      </c>
      <c r="B30" s="14">
        <v>1</v>
      </c>
      <c r="C30" s="14">
        <v>2</v>
      </c>
      <c r="D30" s="14" t="s">
        <v>194</v>
      </c>
      <c r="E30" s="13"/>
      <c r="F30" s="14"/>
      <c r="G30" s="14"/>
      <c r="H30" s="15" t="str">
        <f>IF($F30="","",IF($G30="",IFERROR(INDEX(참조_스케일목록!$B:$B,MATCH($F30,참조_스케일목록!$A:$A,0))&amp;" ("&amp;INDEX(참조_스케일목록!$C:$C,MATCH($F30,참조_스케일목록!$A:$A,0))&amp;")","※없는 ID"),"여 "&amp;IFERROR(INDEX(참조_스케일목록!$B:$B,MATCH($F30,참조_스케일목록!$A:$A,0))&amp;" ("&amp;INDEX(참조_스케일목록!$C:$C,MATCH($F30,참조_스케일목록!$A:$A,0))&amp;")","※없는 ID")&amp;" / 남 "&amp;IFERROR(INDEX(참조_스케일목록!$B:$B,MATCH($G30,참조_스케일목록!$A:$A,0))&amp;" ("&amp;INDEX(참조_스케일목록!$C:$C,MATCH($G30,참조_스케일목록!$A:$A,0))&amp;")","※없는 ID")))</f>
        <v/>
      </c>
      <c r="I30" s="14"/>
      <c r="J30" s="14"/>
      <c r="K30" s="14"/>
      <c r="L30" s="14"/>
      <c r="M30" s="14"/>
      <c r="N30" s="14"/>
      <c r="O30" s="14"/>
      <c r="P30" s="16" t="s">
        <v>89</v>
      </c>
      <c r="Q30" s="17"/>
      <c r="R30" s="18" t="str">
        <f t="shared" si="0"/>
        <v>OK</v>
      </c>
      <c r="T30" s="11" t="s">
        <v>195</v>
      </c>
      <c r="U30" s="11" t="s">
        <v>196</v>
      </c>
      <c r="V30" s="12" t="s">
        <v>115</v>
      </c>
      <c r="X30" s="12"/>
      <c r="Y30" s="12"/>
    </row>
    <row r="31" spans="1:25" ht="17.25" customHeight="1">
      <c r="A31" s="13" t="s">
        <v>191</v>
      </c>
      <c r="B31" s="14">
        <v>1</v>
      </c>
      <c r="C31" s="14">
        <v>3</v>
      </c>
      <c r="D31" s="14" t="s">
        <v>433</v>
      </c>
      <c r="E31" s="17" t="s">
        <v>413</v>
      </c>
      <c r="F31" s="14" t="s">
        <v>146</v>
      </c>
      <c r="G31" s="14" t="s">
        <v>150</v>
      </c>
      <c r="H31" s="15" t="str">
        <f>IF($F31="","",IF($G31="",IFERROR(INDEX(참조_스케일목록!$B:$B,MATCH($F31,참조_스케일목록!$A:$A,0))&amp;" ("&amp;INDEX(참조_스케일목록!$C:$C,MATCH($F31,참조_스케일목록!$A:$A,0))&amp;")","※없는 ID"),"여 "&amp;IFERROR(INDEX(참조_스케일목록!$B:$B,MATCH($F31,참조_스케일목록!$A:$A,0))&amp;" ("&amp;INDEX(참조_스케일목록!$C:$C,MATCH($F31,참조_스케일목록!$A:$A,0))&amp;")","※없는 ID")&amp;" / 남 "&amp;IFERROR(INDEX(참조_스케일목록!$B:$B,MATCH($G31,참조_스케일목록!$A:$A,0))&amp;" ("&amp;INDEX(참조_스케일목록!$C:$C,MATCH($G31,참조_스케일목록!$A:$A,0))&amp;")","※없는 ID")))</f>
        <v>여 5도 스케일 (중성~낮은중성) / 남 5도 스케일 (중성~높은중성)</v>
      </c>
      <c r="I31" s="14">
        <v>1</v>
      </c>
      <c r="J31" s="14">
        <v>7</v>
      </c>
      <c r="K31" s="14"/>
      <c r="L31" s="14"/>
      <c r="M31" s="14"/>
      <c r="N31" s="14"/>
      <c r="O31" s="14">
        <v>13</v>
      </c>
      <c r="P31" s="16" t="s">
        <v>89</v>
      </c>
      <c r="Q31" s="17"/>
      <c r="R31" s="18" t="str">
        <f t="shared" si="0"/>
        <v>OK</v>
      </c>
      <c r="T31" s="11" t="s">
        <v>198</v>
      </c>
      <c r="U31" s="11" t="s">
        <v>196</v>
      </c>
      <c r="V31" s="12" t="s">
        <v>121</v>
      </c>
      <c r="X31" s="12">
        <v>29</v>
      </c>
      <c r="Y31" s="22" t="s">
        <v>158</v>
      </c>
    </row>
    <row r="32" spans="1:25" ht="17.25" customHeight="1">
      <c r="A32" s="13" t="s">
        <v>191</v>
      </c>
      <c r="B32" s="14">
        <v>1</v>
      </c>
      <c r="C32" s="14">
        <v>4</v>
      </c>
      <c r="D32" s="14" t="s">
        <v>199</v>
      </c>
      <c r="E32" s="13"/>
      <c r="F32" s="14"/>
      <c r="G32" s="14"/>
      <c r="H32" s="15" t="str">
        <f>IF($F32="","",IF($G32="",IFERROR(INDEX(참조_스케일목록!$B:$B,MATCH($F32,참조_스케일목록!$A:$A,0))&amp;" ("&amp;INDEX(참조_스케일목록!$C:$C,MATCH($F32,참조_스케일목록!$A:$A,0))&amp;")","※없는 ID"),"여 "&amp;IFERROR(INDEX(참조_스케일목록!$B:$B,MATCH($F32,참조_스케일목록!$A:$A,0))&amp;" ("&amp;INDEX(참조_스케일목록!$C:$C,MATCH($F32,참조_스케일목록!$A:$A,0))&amp;")","※없는 ID")&amp;" / 남 "&amp;IFERROR(INDEX(참조_스케일목록!$B:$B,MATCH($G32,참조_스케일목록!$A:$A,0))&amp;" ("&amp;INDEX(참조_스케일목록!$C:$C,MATCH($G32,참조_스케일목록!$A:$A,0))&amp;")","※없는 ID")))</f>
        <v/>
      </c>
      <c r="I32" s="14"/>
      <c r="J32" s="14"/>
      <c r="K32" s="14"/>
      <c r="L32" s="14"/>
      <c r="M32" s="14"/>
      <c r="N32" s="14"/>
      <c r="O32" s="14"/>
      <c r="P32" s="16" t="s">
        <v>89</v>
      </c>
      <c r="Q32" s="17"/>
      <c r="R32" s="18" t="str">
        <f t="shared" si="0"/>
        <v>OK</v>
      </c>
      <c r="T32" s="11" t="s">
        <v>200</v>
      </c>
      <c r="U32" s="11" t="s">
        <v>196</v>
      </c>
      <c r="V32" s="12" t="s">
        <v>143</v>
      </c>
      <c r="X32" s="12"/>
      <c r="Y32" s="22"/>
    </row>
    <row r="33" spans="1:25" ht="17.25" customHeight="1">
      <c r="A33" s="13" t="s">
        <v>191</v>
      </c>
      <c r="B33" s="14">
        <v>1</v>
      </c>
      <c r="C33" s="14">
        <v>5</v>
      </c>
      <c r="D33" s="14" t="s">
        <v>201</v>
      </c>
      <c r="E33" s="13"/>
      <c r="F33" s="14"/>
      <c r="G33" s="14"/>
      <c r="H33" s="15" t="str">
        <f>IF($F33="","",IF($G33="",IFERROR(INDEX(참조_스케일목록!$B:$B,MATCH($F33,참조_스케일목록!$A:$A,0))&amp;" ("&amp;INDEX(참조_스케일목록!$C:$C,MATCH($F33,참조_스케일목록!$A:$A,0))&amp;")","※없는 ID"),"여 "&amp;IFERROR(INDEX(참조_스케일목록!$B:$B,MATCH($F33,참조_스케일목록!$A:$A,0))&amp;" ("&amp;INDEX(참조_스케일목록!$C:$C,MATCH($F33,참조_스케일목록!$A:$A,0))&amp;")","※없는 ID")&amp;" / 남 "&amp;IFERROR(INDEX(참조_스케일목록!$B:$B,MATCH($G33,참조_스케일목록!$A:$A,0))&amp;" ("&amp;INDEX(참조_스케일목록!$C:$C,MATCH($G33,참조_스케일목록!$A:$A,0))&amp;")","※없는 ID")))</f>
        <v/>
      </c>
      <c r="I33" s="14"/>
      <c r="J33" s="14"/>
      <c r="K33" s="14"/>
      <c r="L33" s="14"/>
      <c r="M33" s="14"/>
      <c r="N33" s="14"/>
      <c r="O33" s="14"/>
      <c r="P33" s="16" t="s">
        <v>89</v>
      </c>
      <c r="Q33" s="17"/>
      <c r="R33" s="18" t="str">
        <f t="shared" si="0"/>
        <v>OK</v>
      </c>
      <c r="T33" s="11" t="s">
        <v>202</v>
      </c>
      <c r="U33" s="11" t="s">
        <v>203</v>
      </c>
      <c r="V33" s="12" t="s">
        <v>115</v>
      </c>
      <c r="X33" s="12"/>
      <c r="Y33" s="22"/>
    </row>
    <row r="34" spans="1:25" ht="17.25" customHeight="1">
      <c r="A34" s="13" t="s">
        <v>191</v>
      </c>
      <c r="B34" s="14">
        <v>2</v>
      </c>
      <c r="C34" s="14">
        <v>1</v>
      </c>
      <c r="D34" s="14" t="s">
        <v>204</v>
      </c>
      <c r="E34" s="13" t="s">
        <v>156</v>
      </c>
      <c r="F34" s="14"/>
      <c r="G34" s="14"/>
      <c r="H34" s="15" t="str">
        <f>IF($F34="","",IF($G34="",IFERROR(INDEX(참조_스케일목록!$B:$B,MATCH($F34,참조_스케일목록!$A:$A,0))&amp;" ("&amp;INDEX(참조_스케일목록!$C:$C,MATCH($F34,참조_스케일목록!$A:$A,0))&amp;")","※없는 ID"),"여 "&amp;IFERROR(INDEX(참조_스케일목록!$B:$B,MATCH($F34,참조_스케일목록!$A:$A,0))&amp;" ("&amp;INDEX(참조_스케일목록!$C:$C,MATCH($F34,참조_스케일목록!$A:$A,0))&amp;")","※없는 ID")&amp;" / 남 "&amp;IFERROR(INDEX(참조_스케일목록!$B:$B,MATCH($G34,참조_스케일목록!$A:$A,0))&amp;" ("&amp;INDEX(참조_스케일목록!$C:$C,MATCH($G34,참조_스케일목록!$A:$A,0))&amp;")","※없는 ID")))</f>
        <v/>
      </c>
      <c r="I34" s="14">
        <v>1</v>
      </c>
      <c r="J34" s="14">
        <v>7</v>
      </c>
      <c r="K34" s="14" t="s">
        <v>433</v>
      </c>
      <c r="L34" s="14"/>
      <c r="M34" s="14"/>
      <c r="N34" s="14"/>
      <c r="O34" s="14"/>
      <c r="P34" s="16" t="s">
        <v>89</v>
      </c>
      <c r="Q34" s="17"/>
      <c r="R34" s="18" t="str">
        <f t="shared" si="0"/>
        <v>OK</v>
      </c>
      <c r="T34" s="11" t="s">
        <v>205</v>
      </c>
      <c r="U34" s="11" t="s">
        <v>203</v>
      </c>
      <c r="V34" s="12" t="s">
        <v>121</v>
      </c>
      <c r="X34" s="12">
        <v>30</v>
      </c>
      <c r="Y34" s="22" t="s">
        <v>206</v>
      </c>
    </row>
    <row r="35" spans="1:25" ht="17.25" customHeight="1">
      <c r="A35" s="13" t="s">
        <v>191</v>
      </c>
      <c r="B35" s="14">
        <v>2</v>
      </c>
      <c r="C35" s="14">
        <v>2</v>
      </c>
      <c r="D35" s="14" t="s">
        <v>207</v>
      </c>
      <c r="E35" s="13"/>
      <c r="F35" s="14"/>
      <c r="G35" s="14"/>
      <c r="H35" s="15" t="str">
        <f>IF($F35="","",IF($G35="",IFERROR(INDEX(참조_스케일목록!$B:$B,MATCH($F35,참조_스케일목록!$A:$A,0))&amp;" ("&amp;INDEX(참조_스케일목록!$C:$C,MATCH($F35,참조_스케일목록!$A:$A,0))&amp;")","※없는 ID"),"여 "&amp;IFERROR(INDEX(참조_스케일목록!$B:$B,MATCH($F35,참조_스케일목록!$A:$A,0))&amp;" ("&amp;INDEX(참조_스케일목록!$C:$C,MATCH($F35,참조_스케일목록!$A:$A,0))&amp;")","※없는 ID")&amp;" / 남 "&amp;IFERROR(INDEX(참조_스케일목록!$B:$B,MATCH($G35,참조_스케일목록!$A:$A,0))&amp;" ("&amp;INDEX(참조_스케일목록!$C:$C,MATCH($G35,참조_스케일목록!$A:$A,0))&amp;")","※없는 ID")))</f>
        <v/>
      </c>
      <c r="I35" s="14"/>
      <c r="J35" s="14"/>
      <c r="K35" s="14"/>
      <c r="L35" s="14"/>
      <c r="M35" s="14"/>
      <c r="N35" s="14"/>
      <c r="O35" s="14"/>
      <c r="P35" s="16" t="s">
        <v>89</v>
      </c>
      <c r="Q35" s="17"/>
      <c r="R35" s="18" t="str">
        <f t="shared" ref="R35:R66" si="1">IF($A35="","",IF(AND($C35&lt;&gt;"",OR($C35&lt;1,$C35&gt;5,MOD($C35*2,1)&lt;&gt;0)),"자리는 1~5 (0.5단위)",IF(COUNTIFS($A$3:$A$170,$A35,$B$3:$B$170,$B35,$C$3:$C$170,$C35)&gt;1,"같은 자리 중복",IF($D35="","스킬ID 비었음",IF(COUNTIF($D$3:$D$170,$D35)&gt;1,"스킬ID 중복",IF(AND($G35&lt;&gt;"",$F35=""),"여 스케일도 필요",IF(AND($K35&lt;&gt;"",ISNA(MATCH($K35,$D$3:$D$170,0))),"선행스킬1 없음",IF(AND($L35&lt;&gt;"",ISNA(MATCH($L35,$D$3:$D$170,0))),"선행스킬2 없음",IF(AND($N35&lt;&gt;"",ISNA(MATCH($N35,$D$3:$D$170,0))),"타계열선행 없음","OK")))))))))</f>
        <v>OK</v>
      </c>
      <c r="T35" s="11" t="s">
        <v>208</v>
      </c>
      <c r="U35" s="11" t="s">
        <v>203</v>
      </c>
      <c r="V35" s="12" t="s">
        <v>143</v>
      </c>
      <c r="X35" s="12"/>
      <c r="Y35" s="22"/>
    </row>
    <row r="36" spans="1:25" ht="17.25" customHeight="1">
      <c r="A36" s="13" t="s">
        <v>191</v>
      </c>
      <c r="B36" s="14">
        <v>2</v>
      </c>
      <c r="C36" s="14">
        <v>3</v>
      </c>
      <c r="D36" s="14" t="s">
        <v>209</v>
      </c>
      <c r="E36" s="19" t="s">
        <v>104</v>
      </c>
      <c r="F36" s="14" t="s">
        <v>134</v>
      </c>
      <c r="G36" s="14"/>
      <c r="H36" s="15" t="str">
        <f>IF($F36="","",IF($G36="",IFERROR(INDEX(참조_스케일목록!$B:$B,MATCH($F36,참조_스케일목록!$A:$A,0))&amp;" ("&amp;INDEX(참조_스케일목록!$C:$C,MATCH($F36,참조_스케일목록!$A:$A,0))&amp;")","※없는 ID"),"여 "&amp;IFERROR(INDEX(참조_스케일목록!$B:$B,MATCH($F36,참조_스케일목록!$A:$A,0))&amp;" ("&amp;INDEX(참조_스케일목록!$C:$C,MATCH($F36,참조_스케일목록!$A:$A,0))&amp;")","※없는 ID")&amp;" / 남 "&amp;IFERROR(INDEX(참조_스케일목록!$B:$B,MATCH($G36,참조_스케일목록!$A:$A,0))&amp;" ("&amp;INDEX(참조_스케일목록!$C:$C,MATCH($G36,참조_스케일목록!$A:$A,0))&amp;")","※없는 ID")))</f>
        <v>5도 스케일 (흉성~낮은두성)</v>
      </c>
      <c r="I36" s="14">
        <v>1</v>
      </c>
      <c r="J36" s="14">
        <v>7</v>
      </c>
      <c r="K36" s="14"/>
      <c r="L36" s="14"/>
      <c r="M36" s="14"/>
      <c r="N36" s="14"/>
      <c r="O36" s="14"/>
      <c r="P36" s="16" t="s">
        <v>89</v>
      </c>
      <c r="Q36" s="17"/>
      <c r="R36" s="18" t="str">
        <f t="shared" si="1"/>
        <v>OK</v>
      </c>
      <c r="T36" s="11" t="s">
        <v>210</v>
      </c>
      <c r="U36" s="11" t="s">
        <v>211</v>
      </c>
      <c r="V36" s="12" t="s">
        <v>84</v>
      </c>
      <c r="X36" s="12">
        <v>31</v>
      </c>
      <c r="Y36" s="12" t="s">
        <v>212</v>
      </c>
    </row>
    <row r="37" spans="1:25" ht="17.25" customHeight="1">
      <c r="A37" s="13" t="s">
        <v>191</v>
      </c>
      <c r="B37" s="14">
        <v>2</v>
      </c>
      <c r="C37" s="14">
        <v>4</v>
      </c>
      <c r="D37" s="14" t="s">
        <v>213</v>
      </c>
      <c r="E37" s="17"/>
      <c r="F37" s="14"/>
      <c r="G37" s="14"/>
      <c r="H37" s="15" t="str">
        <f>IF($F37="","",IF($G37="",IFERROR(INDEX(참조_스케일목록!$B:$B,MATCH($F37,참조_스케일목록!$A:$A,0))&amp;" ("&amp;INDEX(참조_스케일목록!$C:$C,MATCH($F37,참조_스케일목록!$A:$A,0))&amp;")","※없는 ID"),"여 "&amp;IFERROR(INDEX(참조_스케일목록!$B:$B,MATCH($F37,참조_스케일목록!$A:$A,0))&amp;" ("&amp;INDEX(참조_스케일목록!$C:$C,MATCH($F37,참조_스케일목록!$A:$A,0))&amp;")","※없는 ID")&amp;" / 남 "&amp;IFERROR(INDEX(참조_스케일목록!$B:$B,MATCH($G37,참조_스케일목록!$A:$A,0))&amp;" ("&amp;INDEX(참조_스케일목록!$C:$C,MATCH($G37,참조_스케일목록!$A:$A,0))&amp;")","※없는 ID")))</f>
        <v/>
      </c>
      <c r="I37" s="14"/>
      <c r="J37" s="14"/>
      <c r="K37" s="14"/>
      <c r="L37" s="14"/>
      <c r="M37" s="14"/>
      <c r="N37" s="14"/>
      <c r="O37" s="14"/>
      <c r="P37" s="16" t="s">
        <v>89</v>
      </c>
      <c r="Q37" s="17"/>
      <c r="R37" s="18" t="str">
        <f t="shared" si="1"/>
        <v>OK</v>
      </c>
      <c r="T37" s="11" t="s">
        <v>214</v>
      </c>
      <c r="U37" s="11" t="s">
        <v>211</v>
      </c>
      <c r="V37" s="12" t="s">
        <v>131</v>
      </c>
      <c r="X37" s="12"/>
      <c r="Y37" s="12"/>
    </row>
    <row r="38" spans="1:25" ht="17.25" customHeight="1">
      <c r="A38" s="13" t="s">
        <v>191</v>
      </c>
      <c r="B38" s="14">
        <v>2</v>
      </c>
      <c r="C38" s="14">
        <v>5</v>
      </c>
      <c r="D38" s="14" t="s">
        <v>215</v>
      </c>
      <c r="E38" s="17" t="s">
        <v>436</v>
      </c>
      <c r="F38" s="14" t="s">
        <v>438</v>
      </c>
      <c r="G38" s="14" t="s">
        <v>439</v>
      </c>
      <c r="H38" s="15" t="str">
        <f>IF($F38="","",IF($G38="",IFERROR(INDEX(참조_스케일목록!$B:$B,MATCH($F38,참조_스케일목록!$A:$A,0))&amp;" ("&amp;INDEX(참조_스케일목록!$C:$C,MATCH($F38,참조_스케일목록!$A:$A,0))&amp;")","※없는 ID"),"여 "&amp;IFERROR(INDEX(참조_스케일목록!$B:$B,MATCH($F38,참조_스케일목록!$A:$A,0))&amp;" ("&amp;INDEX(참조_스케일목록!$C:$C,MATCH($F38,참조_스케일목록!$A:$A,0))&amp;")","※없는 ID")&amp;" / 남 "&amp;IFERROR(INDEX(참조_스케일목록!$B:$B,MATCH($G38,참조_스케일목록!$A:$A,0))&amp;" ("&amp;INDEX(참조_스케일목록!$C:$C,MATCH($G38,참조_스케일목록!$A:$A,0))&amp;")","※없는 ID")))</f>
        <v>여 3도 스케일 (낮은중성) / 남 3도 스케일 (높은중성)</v>
      </c>
      <c r="I38" s="14">
        <v>1</v>
      </c>
      <c r="J38" s="14">
        <v>7</v>
      </c>
      <c r="K38" s="14" t="s">
        <v>440</v>
      </c>
      <c r="L38" s="14"/>
      <c r="M38" s="14"/>
      <c r="N38" s="14"/>
      <c r="O38" s="14"/>
      <c r="P38" s="16" t="s">
        <v>89</v>
      </c>
      <c r="Q38" s="17"/>
      <c r="R38" s="18" t="str">
        <f t="shared" si="1"/>
        <v>OK</v>
      </c>
      <c r="T38" s="11" t="s">
        <v>216</v>
      </c>
      <c r="U38" s="11" t="s">
        <v>211</v>
      </c>
      <c r="V38" s="12" t="s">
        <v>121</v>
      </c>
      <c r="X38" s="12"/>
      <c r="Y38" s="12"/>
    </row>
    <row r="39" spans="1:25" ht="17.25" customHeight="1">
      <c r="A39" s="13" t="s">
        <v>191</v>
      </c>
      <c r="B39" s="14">
        <v>3</v>
      </c>
      <c r="C39" s="14">
        <v>1</v>
      </c>
      <c r="D39" s="14" t="s">
        <v>217</v>
      </c>
      <c r="E39" s="19" t="s">
        <v>218</v>
      </c>
      <c r="F39" s="14" t="s">
        <v>180</v>
      </c>
      <c r="G39" s="14" t="s">
        <v>183</v>
      </c>
      <c r="H39" s="15" t="str">
        <f>IF($F39="","",IF($G39="",IFERROR(INDEX(참조_스케일목록!$B:$B,MATCH($F39,참조_스케일목록!$A:$A,0))&amp;" ("&amp;INDEX(참조_스케일목록!$C:$C,MATCH($F39,참조_스케일목록!$A:$A,0))&amp;")","※없는 ID"),"여 "&amp;IFERROR(INDEX(참조_스케일목록!$B:$B,MATCH($F39,참조_스케일목록!$A:$A,0))&amp;" ("&amp;INDEX(참조_스케일목록!$C:$C,MATCH($F39,참조_스케일목록!$A:$A,0))&amp;")","※없는 ID")&amp;" / 남 "&amp;IFERROR(INDEX(참조_스케일목록!$B:$B,MATCH($G39,참조_스케일목록!$A:$A,0))&amp;" ("&amp;INDEX(참조_스케일목록!$C:$C,MATCH($G39,참조_스케일목록!$A:$A,0))&amp;")","※없는 ID")))</f>
        <v>여 5도 쉬고 내려오기 (중성~낮은중성) / 남 5도 쉬고 내려오기 (중성~높은중성)</v>
      </c>
      <c r="I39" s="14">
        <v>1</v>
      </c>
      <c r="J39" s="14">
        <v>7</v>
      </c>
      <c r="K39" s="14"/>
      <c r="L39" s="14"/>
      <c r="M39" s="14"/>
      <c r="N39" s="14"/>
      <c r="O39" s="14"/>
      <c r="P39" s="20" t="s">
        <v>119</v>
      </c>
      <c r="Q39" s="17"/>
      <c r="R39" s="18" t="str">
        <f t="shared" si="1"/>
        <v>OK</v>
      </c>
      <c r="T39" s="11" t="s">
        <v>219</v>
      </c>
      <c r="U39" s="11" t="s">
        <v>211</v>
      </c>
      <c r="V39" s="12" t="s">
        <v>147</v>
      </c>
      <c r="X39" s="12"/>
      <c r="Y39" s="12"/>
    </row>
    <row r="40" spans="1:25" ht="17.25" customHeight="1">
      <c r="A40" s="13" t="s">
        <v>191</v>
      </c>
      <c r="B40" s="14">
        <v>3</v>
      </c>
      <c r="C40" s="14">
        <v>2</v>
      </c>
      <c r="D40" s="14" t="s">
        <v>220</v>
      </c>
      <c r="E40" s="21"/>
      <c r="F40" s="14"/>
      <c r="G40" s="14"/>
      <c r="H40" s="15" t="str">
        <f>IF($F40="","",IF($G40="",IFERROR(INDEX(참조_스케일목록!$B:$B,MATCH($F40,참조_스케일목록!$A:$A,0))&amp;" ("&amp;INDEX(참조_스케일목록!$C:$C,MATCH($F40,참조_스케일목록!$A:$A,0))&amp;")","※없는 ID"),"여 "&amp;IFERROR(INDEX(참조_스케일목록!$B:$B,MATCH($F40,참조_스케일목록!$A:$A,0))&amp;" ("&amp;INDEX(참조_스케일목록!$C:$C,MATCH($F40,참조_스케일목록!$A:$A,0))&amp;")","※없는 ID")&amp;" / 남 "&amp;IFERROR(INDEX(참조_스케일목록!$B:$B,MATCH($G40,참조_스케일목록!$A:$A,0))&amp;" ("&amp;INDEX(참조_스케일목록!$C:$C,MATCH($G40,참조_스케일목록!$A:$A,0))&amp;")","※없는 ID")))</f>
        <v/>
      </c>
      <c r="I40" s="14"/>
      <c r="J40" s="14"/>
      <c r="K40" s="14"/>
      <c r="L40" s="14"/>
      <c r="M40" s="14"/>
      <c r="N40" s="14"/>
      <c r="O40" s="14"/>
      <c r="P40" s="14" t="s">
        <v>441</v>
      </c>
      <c r="Q40" s="17"/>
      <c r="R40" s="18" t="str">
        <f t="shared" si="1"/>
        <v>OK</v>
      </c>
      <c r="T40" s="11" t="s">
        <v>221</v>
      </c>
      <c r="U40" s="11" t="s">
        <v>211</v>
      </c>
      <c r="V40" s="12" t="s">
        <v>151</v>
      </c>
      <c r="X40" s="12">
        <v>32</v>
      </c>
      <c r="Y40" s="12" t="s">
        <v>99</v>
      </c>
    </row>
    <row r="41" spans="1:25" ht="17.25" customHeight="1">
      <c r="A41" s="13" t="s">
        <v>191</v>
      </c>
      <c r="B41" s="14">
        <v>3</v>
      </c>
      <c r="C41" s="14">
        <v>3</v>
      </c>
      <c r="D41" s="14" t="s">
        <v>222</v>
      </c>
      <c r="E41" s="13"/>
      <c r="F41" s="14"/>
      <c r="G41" s="14"/>
      <c r="H41" s="15" t="str">
        <f>IF($F41="","",IF($G41="",IFERROR(INDEX(참조_스케일목록!$B:$B,MATCH($F41,참조_스케일목록!$A:$A,0))&amp;" ("&amp;INDEX(참조_스케일목록!$C:$C,MATCH($F41,참조_스케일목록!$A:$A,0))&amp;")","※없는 ID"),"여 "&amp;IFERROR(INDEX(참조_스케일목록!$B:$B,MATCH($F41,참조_스케일목록!$A:$A,0))&amp;" ("&amp;INDEX(참조_스케일목록!$C:$C,MATCH($F41,참조_스케일목록!$A:$A,0))&amp;")","※없는 ID")&amp;" / 남 "&amp;IFERROR(INDEX(참조_스케일목록!$B:$B,MATCH($G41,참조_스케일목록!$A:$A,0))&amp;" ("&amp;INDEX(참조_스케일목록!$C:$C,MATCH($G41,참조_스케일목록!$A:$A,0))&amp;")","※없는 ID")))</f>
        <v/>
      </c>
      <c r="I41" s="14"/>
      <c r="J41" s="14"/>
      <c r="K41" s="14"/>
      <c r="L41" s="14"/>
      <c r="M41" s="14"/>
      <c r="N41" s="14"/>
      <c r="O41" s="14"/>
      <c r="P41" s="16" t="s">
        <v>119</v>
      </c>
      <c r="Q41" s="17"/>
      <c r="R41" s="18" t="str">
        <f t="shared" si="1"/>
        <v>OK</v>
      </c>
      <c r="T41" s="11" t="s">
        <v>223</v>
      </c>
      <c r="U41" s="11" t="s">
        <v>211</v>
      </c>
      <c r="V41" s="12" t="s">
        <v>155</v>
      </c>
      <c r="X41" s="12"/>
      <c r="Y41" s="12"/>
    </row>
    <row r="42" spans="1:25" ht="17.25" customHeight="1">
      <c r="A42" s="13" t="s">
        <v>191</v>
      </c>
      <c r="B42" s="14">
        <v>3</v>
      </c>
      <c r="C42" s="14">
        <v>4</v>
      </c>
      <c r="D42" s="14" t="s">
        <v>224</v>
      </c>
      <c r="E42" s="13"/>
      <c r="F42" s="14"/>
      <c r="G42" s="14"/>
      <c r="H42" s="15" t="str">
        <f>IF($F42="","",IF($G42="",IFERROR(INDEX(참조_스케일목록!$B:$B,MATCH($F42,참조_스케일목록!$A:$A,0))&amp;" ("&amp;INDEX(참조_스케일목록!$C:$C,MATCH($F42,참조_스케일목록!$A:$A,0))&amp;")","※없는 ID"),"여 "&amp;IFERROR(INDEX(참조_스케일목록!$B:$B,MATCH($F42,참조_스케일목록!$A:$A,0))&amp;" ("&amp;INDEX(참조_스케일목록!$C:$C,MATCH($F42,참조_스케일목록!$A:$A,0))&amp;")","※없는 ID")&amp;" / 남 "&amp;IFERROR(INDEX(참조_스케일목록!$B:$B,MATCH($G42,참조_스케일목록!$A:$A,0))&amp;" ("&amp;INDEX(참조_스케일목록!$C:$C,MATCH($G42,참조_스케일목록!$A:$A,0))&amp;")","※없는 ID")))</f>
        <v/>
      </c>
      <c r="I42" s="14"/>
      <c r="J42" s="14"/>
      <c r="K42" s="14"/>
      <c r="L42" s="14"/>
      <c r="M42" s="14"/>
      <c r="N42" s="14"/>
      <c r="O42" s="14"/>
      <c r="P42" s="16" t="s">
        <v>119</v>
      </c>
      <c r="Q42" s="17"/>
      <c r="R42" s="18" t="str">
        <f t="shared" si="1"/>
        <v>OK</v>
      </c>
      <c r="T42" s="11" t="s">
        <v>225</v>
      </c>
      <c r="U42" s="11" t="s">
        <v>211</v>
      </c>
      <c r="V42" s="12" t="s">
        <v>160</v>
      </c>
      <c r="X42" s="12">
        <v>33</v>
      </c>
      <c r="Y42" s="22" t="s">
        <v>124</v>
      </c>
    </row>
    <row r="43" spans="1:25" ht="17.25" customHeight="1">
      <c r="A43" s="13" t="s">
        <v>191</v>
      </c>
      <c r="B43" s="14">
        <v>3</v>
      </c>
      <c r="C43" s="14">
        <v>5</v>
      </c>
      <c r="D43" s="14" t="s">
        <v>226</v>
      </c>
      <c r="E43" s="13"/>
      <c r="F43" s="14"/>
      <c r="G43" s="14"/>
      <c r="H43" s="15" t="str">
        <f>IF($F43="","",IF($G43="",IFERROR(INDEX(참조_스케일목록!$B:$B,MATCH($F43,참조_스케일목록!$A:$A,0))&amp;" ("&amp;INDEX(참조_스케일목록!$C:$C,MATCH($F43,참조_스케일목록!$A:$A,0))&amp;")","※없는 ID"),"여 "&amp;IFERROR(INDEX(참조_스케일목록!$B:$B,MATCH($F43,참조_스케일목록!$A:$A,0))&amp;" ("&amp;INDEX(참조_스케일목록!$C:$C,MATCH($F43,참조_스케일목록!$A:$A,0))&amp;")","※없는 ID")&amp;" / 남 "&amp;IFERROR(INDEX(참조_스케일목록!$B:$B,MATCH($G43,참조_스케일목록!$A:$A,0))&amp;" ("&amp;INDEX(참조_스케일목록!$C:$C,MATCH($G43,참조_스케일목록!$A:$A,0))&amp;")","※없는 ID")))</f>
        <v/>
      </c>
      <c r="I43" s="14"/>
      <c r="J43" s="14"/>
      <c r="K43" s="14"/>
      <c r="L43" s="14"/>
      <c r="M43" s="14"/>
      <c r="N43" s="14"/>
      <c r="O43" s="14"/>
      <c r="P43" s="20" t="s">
        <v>119</v>
      </c>
      <c r="Q43" s="17"/>
      <c r="R43" s="18" t="str">
        <f t="shared" si="1"/>
        <v>OK</v>
      </c>
      <c r="T43" s="11" t="s">
        <v>227</v>
      </c>
      <c r="U43" s="11" t="s">
        <v>211</v>
      </c>
      <c r="V43" s="12" t="s">
        <v>165</v>
      </c>
      <c r="X43" s="12"/>
      <c r="Y43" s="22"/>
    </row>
    <row r="44" spans="1:25" ht="17.25" customHeight="1">
      <c r="A44" s="13" t="s">
        <v>191</v>
      </c>
      <c r="B44" s="14">
        <v>4</v>
      </c>
      <c r="C44" s="14">
        <v>1</v>
      </c>
      <c r="D44" s="14" t="s">
        <v>228</v>
      </c>
      <c r="E44" s="13" t="s">
        <v>229</v>
      </c>
      <c r="F44" s="14" t="s">
        <v>183</v>
      </c>
      <c r="G44" s="14"/>
      <c r="H44" s="15" t="str">
        <f>IF($F44="","",IF($G44="",IFERROR(INDEX(참조_스케일목록!$B:$B,MATCH($F44,참조_스케일목록!$A:$A,0))&amp;" ("&amp;INDEX(참조_스케일목록!$C:$C,MATCH($F44,참조_스케일목록!$A:$A,0))&amp;")","※없는 ID"),"여 "&amp;IFERROR(INDEX(참조_스케일목록!$B:$B,MATCH($F44,참조_스케일목록!$A:$A,0))&amp;" ("&amp;INDEX(참조_스케일목록!$C:$C,MATCH($F44,참조_스케일목록!$A:$A,0))&amp;")","※없는 ID")&amp;" / 남 "&amp;IFERROR(INDEX(참조_스케일목록!$B:$B,MATCH($G44,참조_스케일목록!$A:$A,0))&amp;" ("&amp;INDEX(참조_스케일목록!$C:$C,MATCH($G44,참조_스케일목록!$A:$A,0))&amp;")","※없는 ID")))</f>
        <v>5도 쉬고 내려오기 (중성~높은중성)</v>
      </c>
      <c r="I44" s="14">
        <v>1</v>
      </c>
      <c r="J44" s="14">
        <v>7</v>
      </c>
      <c r="K44" s="14"/>
      <c r="L44" s="14"/>
      <c r="M44" s="14"/>
      <c r="N44" s="14"/>
      <c r="O44" s="14"/>
      <c r="P44" s="16" t="s">
        <v>119</v>
      </c>
      <c r="Q44" s="17"/>
      <c r="R44" s="18" t="str">
        <f t="shared" si="1"/>
        <v>OK</v>
      </c>
      <c r="T44" s="11" t="s">
        <v>230</v>
      </c>
      <c r="U44" s="11" t="s">
        <v>231</v>
      </c>
      <c r="V44" s="12" t="s">
        <v>84</v>
      </c>
      <c r="X44" s="12"/>
      <c r="Y44" s="22"/>
    </row>
    <row r="45" spans="1:25" ht="17.25" customHeight="1">
      <c r="A45" s="13" t="s">
        <v>191</v>
      </c>
      <c r="B45" s="14">
        <v>4</v>
      </c>
      <c r="C45" s="14">
        <v>2</v>
      </c>
      <c r="D45" s="14" t="s">
        <v>232</v>
      </c>
      <c r="E45" s="13"/>
      <c r="F45" s="14"/>
      <c r="G45" s="14"/>
      <c r="H45" s="15" t="str">
        <f>IF($F45="","",IF($G45="",IFERROR(INDEX(참조_스케일목록!$B:$B,MATCH($F45,참조_스케일목록!$A:$A,0))&amp;" ("&amp;INDEX(참조_스케일목록!$C:$C,MATCH($F45,참조_스케일목록!$A:$A,0))&amp;")","※없는 ID"),"여 "&amp;IFERROR(INDEX(참조_스케일목록!$B:$B,MATCH($F45,참조_스케일목록!$A:$A,0))&amp;" ("&amp;INDEX(참조_스케일목록!$C:$C,MATCH($F45,참조_스케일목록!$A:$A,0))&amp;")","※없는 ID")&amp;" / 남 "&amp;IFERROR(INDEX(참조_스케일목록!$B:$B,MATCH($G45,참조_스케일목록!$A:$A,0))&amp;" ("&amp;INDEX(참조_스케일목록!$C:$C,MATCH($G45,참조_스케일목록!$A:$A,0))&amp;")","※없는 ID")))</f>
        <v/>
      </c>
      <c r="I45" s="14"/>
      <c r="J45" s="14"/>
      <c r="K45" s="14"/>
      <c r="L45" s="14"/>
      <c r="M45" s="14"/>
      <c r="N45" s="14"/>
      <c r="O45" s="14"/>
      <c r="P45" s="16" t="s">
        <v>119</v>
      </c>
      <c r="Q45" s="17"/>
      <c r="R45" s="18" t="str">
        <f t="shared" si="1"/>
        <v>OK</v>
      </c>
      <c r="T45" s="11" t="s">
        <v>233</v>
      </c>
      <c r="U45" s="11" t="s">
        <v>231</v>
      </c>
      <c r="V45" s="12" t="s">
        <v>131</v>
      </c>
      <c r="X45" s="12"/>
      <c r="Y45" s="22"/>
    </row>
    <row r="46" spans="1:25" ht="17.25" customHeight="1">
      <c r="A46" s="13" t="s">
        <v>191</v>
      </c>
      <c r="B46" s="14">
        <v>4</v>
      </c>
      <c r="C46" s="14">
        <v>3</v>
      </c>
      <c r="D46" s="14" t="s">
        <v>234</v>
      </c>
      <c r="E46" s="13"/>
      <c r="F46" s="14"/>
      <c r="G46" s="14"/>
      <c r="H46" s="15" t="str">
        <f>IF($F46="","",IF($G46="",IFERROR(INDEX(참조_스케일목록!$B:$B,MATCH($F46,참조_스케일목록!$A:$A,0))&amp;" ("&amp;INDEX(참조_스케일목록!$C:$C,MATCH($F46,참조_스케일목록!$A:$A,0))&amp;")","※없는 ID"),"여 "&amp;IFERROR(INDEX(참조_스케일목록!$B:$B,MATCH($F46,참조_스케일목록!$A:$A,0))&amp;" ("&amp;INDEX(참조_스케일목록!$C:$C,MATCH($F46,참조_스케일목록!$A:$A,0))&amp;")","※없는 ID")&amp;" / 남 "&amp;IFERROR(INDEX(참조_스케일목록!$B:$B,MATCH($G46,참조_스케일목록!$A:$A,0))&amp;" ("&amp;INDEX(참조_스케일목록!$C:$C,MATCH($G46,참조_스케일목록!$A:$A,0))&amp;")","※없는 ID")))</f>
        <v/>
      </c>
      <c r="I46" s="14"/>
      <c r="J46" s="14"/>
      <c r="K46" s="14"/>
      <c r="L46" s="14"/>
      <c r="M46" s="14"/>
      <c r="N46" s="14"/>
      <c r="O46" s="14"/>
      <c r="P46" s="20" t="s">
        <v>119</v>
      </c>
      <c r="Q46" s="17"/>
      <c r="R46" s="18" t="str">
        <f t="shared" si="1"/>
        <v>OK</v>
      </c>
      <c r="T46" s="11" t="s">
        <v>235</v>
      </c>
      <c r="U46" s="11" t="s">
        <v>231</v>
      </c>
      <c r="V46" s="12" t="s">
        <v>121</v>
      </c>
      <c r="X46" s="12">
        <v>34</v>
      </c>
      <c r="Y46" s="22" t="s">
        <v>141</v>
      </c>
    </row>
    <row r="47" spans="1:25" ht="17.25" customHeight="1">
      <c r="A47" s="13" t="s">
        <v>191</v>
      </c>
      <c r="B47" s="14">
        <v>4</v>
      </c>
      <c r="C47" s="14">
        <v>4</v>
      </c>
      <c r="D47" s="14" t="s">
        <v>236</v>
      </c>
      <c r="E47" s="13"/>
      <c r="F47" s="14"/>
      <c r="G47" s="14"/>
      <c r="H47" s="15" t="str">
        <f>IF($F47="","",IF($G47="",IFERROR(INDEX(참조_스케일목록!$B:$B,MATCH($F47,참조_스케일목록!$A:$A,0))&amp;" ("&amp;INDEX(참조_스케일목록!$C:$C,MATCH($F47,참조_스케일목록!$A:$A,0))&amp;")","※없는 ID"),"여 "&amp;IFERROR(INDEX(참조_스케일목록!$B:$B,MATCH($F47,참조_스케일목록!$A:$A,0))&amp;" ("&amp;INDEX(참조_스케일목록!$C:$C,MATCH($F47,참조_스케일목록!$A:$A,0))&amp;")","※없는 ID")&amp;" / 남 "&amp;IFERROR(INDEX(참조_스케일목록!$B:$B,MATCH($G47,참조_스케일목록!$A:$A,0))&amp;" ("&amp;INDEX(참조_스케일목록!$C:$C,MATCH($G47,참조_스케일목록!$A:$A,0))&amp;")","※없는 ID")))</f>
        <v/>
      </c>
      <c r="I47" s="14"/>
      <c r="J47" s="14"/>
      <c r="K47" s="14"/>
      <c r="L47" s="14"/>
      <c r="M47" s="14"/>
      <c r="N47" s="14"/>
      <c r="O47" s="14"/>
      <c r="P47" s="16" t="s">
        <v>119</v>
      </c>
      <c r="Q47" s="17"/>
      <c r="R47" s="18" t="str">
        <f t="shared" si="1"/>
        <v>OK</v>
      </c>
      <c r="T47" s="11" t="s">
        <v>237</v>
      </c>
      <c r="U47" s="11" t="s">
        <v>231</v>
      </c>
      <c r="V47" s="12" t="s">
        <v>147</v>
      </c>
      <c r="X47" s="12"/>
      <c r="Y47" s="22"/>
    </row>
    <row r="48" spans="1:25" ht="17.25" customHeight="1">
      <c r="A48" s="13" t="s">
        <v>191</v>
      </c>
      <c r="B48" s="14">
        <v>4</v>
      </c>
      <c r="C48" s="14">
        <v>5</v>
      </c>
      <c r="D48" s="14" t="s">
        <v>238</v>
      </c>
      <c r="E48" s="13"/>
      <c r="F48" s="14"/>
      <c r="G48" s="14"/>
      <c r="H48" s="15" t="str">
        <f>IF($F48="","",IF($G48="",IFERROR(INDEX(참조_스케일목록!$B:$B,MATCH($F48,참조_스케일목록!$A:$A,0))&amp;" ("&amp;INDEX(참조_스케일목록!$C:$C,MATCH($F48,참조_스케일목록!$A:$A,0))&amp;")","※없는 ID"),"여 "&amp;IFERROR(INDEX(참조_스케일목록!$B:$B,MATCH($F48,참조_스케일목록!$A:$A,0))&amp;" ("&amp;INDEX(참조_스케일목록!$C:$C,MATCH($F48,참조_스케일목록!$A:$A,0))&amp;")","※없는 ID")&amp;" / 남 "&amp;IFERROR(INDEX(참조_스케일목록!$B:$B,MATCH($G48,참조_스케일목록!$A:$A,0))&amp;" ("&amp;INDEX(참조_스케일목록!$C:$C,MATCH($G48,참조_스케일목록!$A:$A,0))&amp;")","※없는 ID")))</f>
        <v/>
      </c>
      <c r="I48" s="14"/>
      <c r="J48" s="14"/>
      <c r="K48" s="14"/>
      <c r="L48" s="14"/>
      <c r="M48" s="14"/>
      <c r="N48" s="14"/>
      <c r="O48" s="14"/>
      <c r="P48" s="20" t="s">
        <v>119</v>
      </c>
      <c r="Q48" s="17"/>
      <c r="R48" s="18" t="str">
        <f t="shared" si="1"/>
        <v>OK</v>
      </c>
      <c r="T48" s="11" t="s">
        <v>239</v>
      </c>
      <c r="U48" s="11" t="s">
        <v>231</v>
      </c>
      <c r="V48" s="12" t="s">
        <v>151</v>
      </c>
      <c r="X48" s="12"/>
      <c r="Y48" s="22"/>
    </row>
    <row r="49" spans="1:25" ht="17.25" customHeight="1">
      <c r="A49" s="17" t="s">
        <v>405</v>
      </c>
      <c r="B49" s="14">
        <v>1</v>
      </c>
      <c r="C49" s="14">
        <v>1</v>
      </c>
      <c r="D49" s="14" t="s">
        <v>240</v>
      </c>
      <c r="E49" s="13"/>
      <c r="F49" s="14"/>
      <c r="G49" s="14"/>
      <c r="H49" s="15" t="str">
        <f>IF($F49="","",IF($G49="",IFERROR(INDEX(참조_스케일목록!$B:$B,MATCH($F49,참조_스케일목록!$A:$A,0))&amp;" ("&amp;INDEX(참조_스케일목록!$C:$C,MATCH($F49,참조_스케일목록!$A:$A,0))&amp;")","※없는 ID"),"여 "&amp;IFERROR(INDEX(참조_스케일목록!$B:$B,MATCH($F49,참조_스케일목록!$A:$A,0))&amp;" ("&amp;INDEX(참조_스케일목록!$C:$C,MATCH($F49,참조_스케일목록!$A:$A,0))&amp;")","※없는 ID")&amp;" / 남 "&amp;IFERROR(INDEX(참조_스케일목록!$B:$B,MATCH($G49,참조_스케일목록!$A:$A,0))&amp;" ("&amp;INDEX(참조_스케일목록!$C:$C,MATCH($G49,참조_스케일목록!$A:$A,0))&amp;")","※없는 ID")))</f>
        <v/>
      </c>
      <c r="I49" s="14"/>
      <c r="J49" s="14"/>
      <c r="K49" s="14"/>
      <c r="L49" s="14"/>
      <c r="M49" s="14"/>
      <c r="N49" s="14"/>
      <c r="O49" s="14"/>
      <c r="P49" s="16" t="s">
        <v>119</v>
      </c>
      <c r="Q49" s="17"/>
      <c r="R49" s="18" t="str">
        <f t="shared" si="1"/>
        <v>OK</v>
      </c>
      <c r="T49" s="11" t="s">
        <v>241</v>
      </c>
      <c r="U49" s="11" t="s">
        <v>231</v>
      </c>
      <c r="V49" s="12" t="s">
        <v>155</v>
      </c>
      <c r="X49" s="12"/>
      <c r="Y49" s="22"/>
    </row>
    <row r="50" spans="1:25" ht="17.25" customHeight="1">
      <c r="A50" s="17" t="s">
        <v>405</v>
      </c>
      <c r="B50" s="14">
        <v>1</v>
      </c>
      <c r="C50" s="14">
        <v>2</v>
      </c>
      <c r="D50" s="14" t="s">
        <v>242</v>
      </c>
      <c r="E50" s="13"/>
      <c r="F50" s="14"/>
      <c r="G50" s="14"/>
      <c r="H50" s="15" t="str">
        <f>IF($F50="","",IF($G50="",IFERROR(INDEX(참조_스케일목록!$B:$B,MATCH($F50,참조_스케일목록!$A:$A,0))&amp;" ("&amp;INDEX(참조_스케일목록!$C:$C,MATCH($F50,참조_스케일목록!$A:$A,0))&amp;")","※없는 ID"),"여 "&amp;IFERROR(INDEX(참조_스케일목록!$B:$B,MATCH($F50,참조_스케일목록!$A:$A,0))&amp;" ("&amp;INDEX(참조_스케일목록!$C:$C,MATCH($F50,참조_스케일목록!$A:$A,0))&amp;")","※없는 ID")&amp;" / 남 "&amp;IFERROR(INDEX(참조_스케일목록!$B:$B,MATCH($G50,참조_스케일목록!$A:$A,0))&amp;" ("&amp;INDEX(참조_스케일목록!$C:$C,MATCH($G50,참조_스케일목록!$A:$A,0))&amp;")","※없는 ID")))</f>
        <v/>
      </c>
      <c r="I50" s="14"/>
      <c r="J50" s="14"/>
      <c r="K50" s="14"/>
      <c r="L50" s="14"/>
      <c r="M50" s="14"/>
      <c r="N50" s="14"/>
      <c r="O50" s="14"/>
      <c r="P50" s="20" t="s">
        <v>119</v>
      </c>
      <c r="Q50" s="17"/>
      <c r="R50" s="18" t="str">
        <f t="shared" si="1"/>
        <v>OK</v>
      </c>
      <c r="T50" s="11" t="s">
        <v>243</v>
      </c>
      <c r="U50" s="11" t="s">
        <v>231</v>
      </c>
      <c r="V50" s="12" t="s">
        <v>160</v>
      </c>
      <c r="X50" s="12"/>
      <c r="Y50" s="22"/>
    </row>
    <row r="51" spans="1:25" ht="17.25" customHeight="1">
      <c r="A51" s="17" t="s">
        <v>405</v>
      </c>
      <c r="B51" s="14">
        <v>1</v>
      </c>
      <c r="C51" s="14">
        <v>3</v>
      </c>
      <c r="D51" s="14" t="s">
        <v>432</v>
      </c>
      <c r="E51" s="19" t="s">
        <v>246</v>
      </c>
      <c r="F51" s="14" t="s">
        <v>406</v>
      </c>
      <c r="G51" s="14" t="s">
        <v>407</v>
      </c>
      <c r="H51" s="15" t="str">
        <f>IF($F51="","",IF($G51="",IFERROR(INDEX(참조_스케일목록!$B:$B,MATCH($F51,참조_스케일목록!$A:$A,0))&amp;" ("&amp;INDEX(참조_스케일목록!$C:$C,MATCH($F51,참조_스케일목록!$A:$A,0))&amp;")","※없는 ID"),"여 "&amp;IFERROR(INDEX(참조_스케일목록!$B:$B,MATCH($F51,참조_스케일목록!$A:$A,0))&amp;" ("&amp;INDEX(참조_스케일목록!$C:$C,MATCH($F51,참조_스케일목록!$A:$A,0))&amp;")","※없는 ID")&amp;" / 남 "&amp;IFERROR(INDEX(참조_스케일목록!$B:$B,MATCH($G51,참조_스케일목록!$A:$A,0))&amp;" ("&amp;INDEX(참조_스케일목록!$C:$C,MATCH($G51,참조_스케일목록!$A:$A,0))&amp;")","※없는 ID")))</f>
        <v>여 5도 쉬고 내려오기 (중성~낮은중성) / 남 5도 쉬고 내려오기 (중성~높은중성)</v>
      </c>
      <c r="I51" s="14">
        <v>1</v>
      </c>
      <c r="J51" s="14">
        <v>7</v>
      </c>
      <c r="K51" s="14"/>
      <c r="L51" s="14"/>
      <c r="M51" s="14"/>
      <c r="N51" s="14"/>
      <c r="O51" s="14">
        <v>13</v>
      </c>
      <c r="P51" s="16" t="s">
        <v>89</v>
      </c>
      <c r="Q51" s="17"/>
      <c r="R51" s="18" t="str">
        <f t="shared" si="1"/>
        <v>OK</v>
      </c>
      <c r="T51" s="11" t="s">
        <v>247</v>
      </c>
      <c r="U51" s="11" t="s">
        <v>231</v>
      </c>
      <c r="V51" s="12" t="s">
        <v>165</v>
      </c>
      <c r="X51" s="12">
        <v>35</v>
      </c>
      <c r="Y51" s="22" t="s">
        <v>248</v>
      </c>
    </row>
    <row r="52" spans="1:25" ht="17.25" customHeight="1">
      <c r="A52" s="19" t="s">
        <v>244</v>
      </c>
      <c r="B52" s="14">
        <v>1</v>
      </c>
      <c r="C52" s="14">
        <v>4</v>
      </c>
      <c r="D52" s="14" t="s">
        <v>249</v>
      </c>
      <c r="E52" s="17"/>
      <c r="F52" s="14"/>
      <c r="G52" s="14"/>
      <c r="H52" s="15" t="str">
        <f>IF($F52="","",IF($G52="",IFERROR(INDEX(참조_스케일목록!$B:$B,MATCH($F52,참조_스케일목록!$A:$A,0))&amp;" ("&amp;INDEX(참조_스케일목록!$C:$C,MATCH($F52,참조_스케일목록!$A:$A,0))&amp;")","※없는 ID"),"여 "&amp;IFERROR(INDEX(참조_스케일목록!$B:$B,MATCH($F52,참조_스케일목록!$A:$A,0))&amp;" ("&amp;INDEX(참조_스케일목록!$C:$C,MATCH($F52,참조_스케일목록!$A:$A,0))&amp;")","※없는 ID")&amp;" / 남 "&amp;IFERROR(INDEX(참조_스케일목록!$B:$B,MATCH($G52,참조_스케일목록!$A:$A,0))&amp;" ("&amp;INDEX(참조_스케일목록!$C:$C,MATCH($G52,참조_스케일목록!$A:$A,0))&amp;")","※없는 ID")))</f>
        <v/>
      </c>
      <c r="I52" s="14"/>
      <c r="J52" s="14"/>
      <c r="K52" s="14"/>
      <c r="L52" s="14"/>
      <c r="M52" s="14"/>
      <c r="N52" s="14"/>
      <c r="O52" s="14"/>
      <c r="P52" s="20" t="s">
        <v>119</v>
      </c>
      <c r="Q52" s="17"/>
      <c r="R52" s="18" t="str">
        <f t="shared" si="1"/>
        <v>OK</v>
      </c>
      <c r="T52" s="11" t="s">
        <v>250</v>
      </c>
      <c r="U52" s="11" t="s">
        <v>251</v>
      </c>
      <c r="V52" s="12" t="s">
        <v>84</v>
      </c>
      <c r="X52" s="12"/>
      <c r="Y52" s="22"/>
    </row>
    <row r="53" spans="1:25" ht="17.25" customHeight="1">
      <c r="A53" s="19" t="s">
        <v>244</v>
      </c>
      <c r="B53" s="14">
        <v>1</v>
      </c>
      <c r="C53" s="14">
        <v>5</v>
      </c>
      <c r="D53" s="14" t="s">
        <v>252</v>
      </c>
      <c r="E53" s="17"/>
      <c r="F53" s="14"/>
      <c r="G53" s="14"/>
      <c r="H53" s="15" t="str">
        <f>IF($F53="","",IF($G53="",IFERROR(INDEX(참조_스케일목록!$B:$B,MATCH($F53,참조_스케일목록!$A:$A,0))&amp;" ("&amp;INDEX(참조_스케일목록!$C:$C,MATCH($F53,참조_스케일목록!$A:$A,0))&amp;")","※없는 ID"),"여 "&amp;IFERROR(INDEX(참조_스케일목록!$B:$B,MATCH($F53,참조_스케일목록!$A:$A,0))&amp;" ("&amp;INDEX(참조_스케일목록!$C:$C,MATCH($F53,참조_스케일목록!$A:$A,0))&amp;")","※없는 ID")&amp;" / 남 "&amp;IFERROR(INDEX(참조_스케일목록!$B:$B,MATCH($G53,참조_스케일목록!$A:$A,0))&amp;" ("&amp;INDEX(참조_스케일목록!$C:$C,MATCH($G53,참조_스케일목록!$A:$A,0))&amp;")","※없는 ID")))</f>
        <v/>
      </c>
      <c r="I53" s="14"/>
      <c r="J53" s="14"/>
      <c r="K53" s="14"/>
      <c r="L53" s="14"/>
      <c r="M53" s="14"/>
      <c r="N53" s="14"/>
      <c r="O53" s="14"/>
      <c r="P53" s="16" t="s">
        <v>119</v>
      </c>
      <c r="Q53" s="17"/>
      <c r="R53" s="18" t="str">
        <f t="shared" si="1"/>
        <v>OK</v>
      </c>
      <c r="T53" s="11" t="s">
        <v>253</v>
      </c>
      <c r="U53" s="11" t="s">
        <v>251</v>
      </c>
      <c r="V53" s="12" t="s">
        <v>131</v>
      </c>
      <c r="X53" s="12"/>
      <c r="Y53" s="22"/>
    </row>
    <row r="54" spans="1:25" ht="17.25" customHeight="1">
      <c r="A54" s="19" t="s">
        <v>244</v>
      </c>
      <c r="B54" s="14">
        <v>2</v>
      </c>
      <c r="C54" s="14">
        <v>1</v>
      </c>
      <c r="D54" s="14" t="s">
        <v>431</v>
      </c>
      <c r="E54" s="19" t="s">
        <v>255</v>
      </c>
      <c r="F54" s="14" t="s">
        <v>408</v>
      </c>
      <c r="G54" s="14" t="s">
        <v>409</v>
      </c>
      <c r="H54" s="15" t="str">
        <f>IF($F54="","",IF($G54="",IFERROR(INDEX(참조_스케일목록!$B:$B,MATCH($F54,참조_스케일목록!$A:$A,0))&amp;" ("&amp;INDEX(참조_스케일목록!$C:$C,MATCH($F54,참조_스케일목록!$A:$A,0))&amp;")","※없는 ID"),"여 "&amp;IFERROR(INDEX(참조_스케일목록!$B:$B,MATCH($F54,참조_스케일목록!$A:$A,0))&amp;" ("&amp;INDEX(참조_스케일목록!$C:$C,MATCH($F54,참조_스케일목록!$A:$A,0))&amp;")","※없는 ID")&amp;" / 남 "&amp;IFERROR(INDEX(참조_스케일목록!$B:$B,MATCH($G54,참조_스케일목록!$A:$A,0))&amp;" ("&amp;INDEX(참조_스케일목록!$C:$C,MATCH($G54,참조_스케일목록!$A:$A,0))&amp;")","※없는 ID")))</f>
        <v>여 9도 스케일 (흉성~높은두성) / 남 9도 스케일 (흉성~휘슬)</v>
      </c>
      <c r="I54" s="14">
        <v>1</v>
      </c>
      <c r="J54" s="14">
        <v>7</v>
      </c>
      <c r="K54" s="14" t="s">
        <v>432</v>
      </c>
      <c r="L54" s="14"/>
      <c r="M54" s="14"/>
      <c r="N54" s="14"/>
      <c r="O54" s="14"/>
      <c r="P54" s="16" t="s">
        <v>89</v>
      </c>
      <c r="Q54" s="17"/>
      <c r="R54" s="18" t="str">
        <f t="shared" si="1"/>
        <v>OK</v>
      </c>
      <c r="T54" s="11" t="s">
        <v>256</v>
      </c>
      <c r="U54" s="11" t="s">
        <v>251</v>
      </c>
      <c r="V54" s="12" t="s">
        <v>121</v>
      </c>
      <c r="X54" s="12"/>
      <c r="Y54" s="22"/>
    </row>
    <row r="55" spans="1:25" ht="17.25" customHeight="1">
      <c r="A55" s="19" t="s">
        <v>244</v>
      </c>
      <c r="B55" s="14">
        <v>2</v>
      </c>
      <c r="C55" s="14">
        <v>2</v>
      </c>
      <c r="D55" s="14" t="s">
        <v>257</v>
      </c>
      <c r="E55" s="19" t="s">
        <v>218</v>
      </c>
      <c r="F55" s="14" t="s">
        <v>186</v>
      </c>
      <c r="G55" s="14"/>
      <c r="H55" s="15" t="str">
        <f>IF($F55="","",IF($G55="",IFERROR(INDEX(참조_스케일목록!$B:$B,MATCH($F55,참조_스케일목록!$A:$A,0))&amp;" ("&amp;INDEX(참조_스케일목록!$C:$C,MATCH($F55,참조_스케일목록!$A:$A,0))&amp;")","※없는 ID"),"여 "&amp;IFERROR(INDEX(참조_스케일목록!$B:$B,MATCH($F55,참조_스케일목록!$A:$A,0))&amp;" ("&amp;INDEX(참조_스케일목록!$C:$C,MATCH($F55,참조_스케일목록!$A:$A,0))&amp;")","※없는 ID")&amp;" / 남 "&amp;IFERROR(INDEX(참조_스케일목록!$B:$B,MATCH($G55,참조_스케일목록!$A:$A,0))&amp;" ("&amp;INDEX(참조_스케일목록!$C:$C,MATCH($G55,참조_스케일목록!$A:$A,0))&amp;")","※없는 ID")))</f>
        <v>5도 쉬고 내려오기 (중성~낮은두성)</v>
      </c>
      <c r="I55" s="14">
        <v>1</v>
      </c>
      <c r="J55" s="14">
        <v>7</v>
      </c>
      <c r="K55" s="14" t="s">
        <v>432</v>
      </c>
      <c r="L55" s="14"/>
      <c r="M55" s="14"/>
      <c r="N55" s="14"/>
      <c r="O55" s="14"/>
      <c r="P55" s="20" t="s">
        <v>89</v>
      </c>
      <c r="Q55" s="17"/>
      <c r="R55" s="18" t="str">
        <f t="shared" si="1"/>
        <v>OK</v>
      </c>
      <c r="T55" s="11" t="s">
        <v>258</v>
      </c>
      <c r="U55" s="11" t="s">
        <v>251</v>
      </c>
      <c r="V55" s="12" t="s">
        <v>147</v>
      </c>
      <c r="X55" s="12"/>
      <c r="Y55" s="22"/>
    </row>
    <row r="56" spans="1:25" ht="17.25" customHeight="1">
      <c r="A56" s="13" t="s">
        <v>244</v>
      </c>
      <c r="B56" s="14">
        <v>2</v>
      </c>
      <c r="C56" s="14">
        <v>3</v>
      </c>
      <c r="D56" s="14" t="s">
        <v>259</v>
      </c>
      <c r="E56" s="19" t="s">
        <v>260</v>
      </c>
      <c r="F56" s="14" t="s">
        <v>189</v>
      </c>
      <c r="G56" s="14" t="s">
        <v>193</v>
      </c>
      <c r="H56" s="15" t="str">
        <f>IF($F56="","",IF($G56="",IFERROR(INDEX(참조_스케일목록!$B:$B,MATCH($F56,참조_스케일목록!$A:$A,0))&amp;" ("&amp;INDEX(참조_스케일목록!$C:$C,MATCH($F56,참조_스케일목록!$A:$A,0))&amp;")","※없는 ID"),"여 "&amp;IFERROR(INDEX(참조_스케일목록!$B:$B,MATCH($F56,참조_스케일목록!$A:$A,0))&amp;" ("&amp;INDEX(참조_스케일목록!$C:$C,MATCH($F56,참조_스케일목록!$A:$A,0))&amp;")","※없는 ID")&amp;" / 남 "&amp;IFERROR(INDEX(참조_스케일목록!$B:$B,MATCH($G56,참조_스케일목록!$A:$A,0))&amp;" ("&amp;INDEX(참조_스케일목록!$C:$C,MATCH($G56,참조_스케일목록!$A:$A,0))&amp;")","※없는 ID")))</f>
        <v>여 5도 쉬고 내려오기 (중성~높은두성) / 남 5도 쉬고 내려오기 (중성~휘슬)</v>
      </c>
      <c r="I56" s="14">
        <v>1</v>
      </c>
      <c r="J56" s="14">
        <v>7</v>
      </c>
      <c r="K56" s="14"/>
      <c r="L56" s="14"/>
      <c r="M56" s="14"/>
      <c r="N56" s="14"/>
      <c r="O56" s="14"/>
      <c r="P56" s="16" t="s">
        <v>89</v>
      </c>
      <c r="Q56" s="17"/>
      <c r="R56" s="18" t="str">
        <f t="shared" si="1"/>
        <v>OK</v>
      </c>
      <c r="T56" s="11" t="s">
        <v>261</v>
      </c>
      <c r="U56" s="11" t="s">
        <v>251</v>
      </c>
      <c r="V56" s="12" t="s">
        <v>151</v>
      </c>
      <c r="X56" s="12">
        <v>36</v>
      </c>
      <c r="Y56" s="22" t="s">
        <v>262</v>
      </c>
    </row>
    <row r="57" spans="1:25" ht="17.25" customHeight="1">
      <c r="A57" s="13" t="s">
        <v>244</v>
      </c>
      <c r="B57" s="14">
        <v>2</v>
      </c>
      <c r="C57" s="14">
        <v>4</v>
      </c>
      <c r="D57" s="14" t="s">
        <v>263</v>
      </c>
      <c r="E57" s="13" t="s">
        <v>264</v>
      </c>
      <c r="F57" s="14" t="s">
        <v>225</v>
      </c>
      <c r="G57" s="14" t="s">
        <v>227</v>
      </c>
      <c r="H57" s="15" t="str">
        <f>IF($F57="","",IF($G57="",IFERROR(INDEX(참조_스케일목록!$B:$B,MATCH($F57,참조_스케일목록!$A:$A,0))&amp;" ("&amp;INDEX(참조_스케일목록!$C:$C,MATCH($F57,참조_스케일목록!$A:$A,0))&amp;")","※없는 ID"),"여 "&amp;IFERROR(INDEX(참조_스케일목록!$B:$B,MATCH($F57,참조_스케일목록!$A:$A,0))&amp;" ("&amp;INDEX(참조_스케일목록!$C:$C,MATCH($F57,참조_스케일목록!$A:$A,0))&amp;")","※없는 ID")&amp;" / 남 "&amp;IFERROR(INDEX(참조_스케일목록!$B:$B,MATCH($G57,참조_스케일목록!$A:$A,0))&amp;" ("&amp;INDEX(참조_스케일목록!$C:$C,MATCH($G57,참조_스케일목록!$A:$A,0))&amp;")","※없는 ID")))</f>
        <v>여 5도 하향 스케일 (중성~높은두성) / 남 5도 하향 스케일 (중성~휘슬)</v>
      </c>
      <c r="I57" s="14">
        <v>1</v>
      </c>
      <c r="J57" s="14">
        <v>7</v>
      </c>
      <c r="K57" s="14" t="s">
        <v>245</v>
      </c>
      <c r="L57" s="14"/>
      <c r="M57" s="14"/>
      <c r="N57" s="14"/>
      <c r="O57" s="14"/>
      <c r="P57" s="20" t="s">
        <v>89</v>
      </c>
      <c r="Q57" s="17"/>
      <c r="R57" s="18" t="str">
        <f t="shared" si="1"/>
        <v>OK</v>
      </c>
      <c r="T57" s="11" t="s">
        <v>265</v>
      </c>
      <c r="U57" s="11" t="s">
        <v>251</v>
      </c>
      <c r="V57" s="12" t="s">
        <v>155</v>
      </c>
      <c r="X57" s="12"/>
      <c r="Y57" s="22"/>
    </row>
    <row r="58" spans="1:25" ht="17.25" customHeight="1">
      <c r="A58" s="13" t="s">
        <v>244</v>
      </c>
      <c r="B58" s="14">
        <v>2</v>
      </c>
      <c r="C58" s="14">
        <v>5</v>
      </c>
      <c r="D58" s="14" t="s">
        <v>266</v>
      </c>
      <c r="E58" s="13" t="s">
        <v>267</v>
      </c>
      <c r="F58" s="14" t="s">
        <v>159</v>
      </c>
      <c r="G58" s="14" t="s">
        <v>164</v>
      </c>
      <c r="H58" s="15" t="str">
        <f>IF($F58="","",IF($G58="",IFERROR(INDEX(참조_스케일목록!$B:$B,MATCH($F58,참조_스케일목록!$A:$A,0))&amp;" ("&amp;INDEX(참조_스케일목록!$C:$C,MATCH($F58,참조_스케일목록!$A:$A,0))&amp;")","※없는 ID"),"여 "&amp;IFERROR(INDEX(참조_스케일목록!$B:$B,MATCH($F58,참조_스케일목록!$A:$A,0))&amp;" ("&amp;INDEX(참조_스케일목록!$C:$C,MATCH($F58,참조_스케일목록!$A:$A,0))&amp;")","※없는 ID")&amp;" / 남 "&amp;IFERROR(INDEX(참조_스케일목록!$B:$B,MATCH($G58,참조_스케일목록!$A:$A,0))&amp;" ("&amp;INDEX(참조_스케일목록!$C:$C,MATCH($G58,참조_스케일목록!$A:$A,0))&amp;")","※없는 ID")))</f>
        <v>여 5도 스케일 (중성~높은두성) / 남 5도 스케일 (중성~휘슬)</v>
      </c>
      <c r="I58" s="14">
        <v>1</v>
      </c>
      <c r="J58" s="14">
        <v>7</v>
      </c>
      <c r="K58" s="14" t="s">
        <v>245</v>
      </c>
      <c r="L58" s="14"/>
      <c r="M58" s="14"/>
      <c r="N58" s="14"/>
      <c r="O58" s="14"/>
      <c r="P58" s="16" t="s">
        <v>89</v>
      </c>
      <c r="Q58" s="17"/>
      <c r="R58" s="18" t="str">
        <f t="shared" si="1"/>
        <v>OK</v>
      </c>
      <c r="T58" s="11" t="s">
        <v>268</v>
      </c>
      <c r="U58" s="11" t="s">
        <v>251</v>
      </c>
      <c r="V58" s="12" t="s">
        <v>160</v>
      </c>
      <c r="X58" s="12"/>
      <c r="Y58" s="22"/>
    </row>
    <row r="59" spans="1:25" ht="17.25" customHeight="1">
      <c r="A59" s="13" t="s">
        <v>244</v>
      </c>
      <c r="B59" s="14">
        <v>3</v>
      </c>
      <c r="C59" s="14">
        <v>1</v>
      </c>
      <c r="D59" s="14" t="s">
        <v>269</v>
      </c>
      <c r="E59" s="19" t="s">
        <v>270</v>
      </c>
      <c r="F59" s="14" t="s">
        <v>410</v>
      </c>
      <c r="G59" s="14" t="s">
        <v>411</v>
      </c>
      <c r="H59" s="15" t="str">
        <f>IF($F59="","",IF($G59="",IFERROR(INDEX(참조_스케일목록!$B:$B,MATCH($F59,참조_스케일목록!$A:$A,0))&amp;" ("&amp;INDEX(참조_스케일목록!$C:$C,MATCH($F59,참조_스케일목록!$A:$A,0))&amp;")","※없는 ID"),"여 "&amp;IFERROR(INDEX(참조_스케일목록!$B:$B,MATCH($F59,참조_스케일목록!$A:$A,0))&amp;" ("&amp;INDEX(참조_스케일목록!$C:$C,MATCH($F59,참조_스케일목록!$A:$A,0))&amp;")","※없는 ID")&amp;" / 남 "&amp;IFERROR(INDEX(참조_스케일목록!$B:$B,MATCH($G59,참조_스케일목록!$A:$A,0))&amp;" ("&amp;INDEX(참조_스케일목록!$C:$C,MATCH($G59,참조_스케일목록!$A:$A,0))&amp;")","※없는 ID")))</f>
        <v>여 9도 쉬고 내려오기 (흉성~높은두성) / 남 9도 쉬고 내려오기 (흉성~휘슬)</v>
      </c>
      <c r="I59" s="14">
        <v>1</v>
      </c>
      <c r="J59" s="14">
        <v>7</v>
      </c>
      <c r="K59" s="14"/>
      <c r="L59" s="14"/>
      <c r="M59" s="14"/>
      <c r="N59" s="14"/>
      <c r="O59" s="14"/>
      <c r="P59" s="16" t="s">
        <v>119</v>
      </c>
      <c r="Q59" s="17"/>
      <c r="R59" s="18" t="str">
        <f t="shared" si="1"/>
        <v>OK</v>
      </c>
      <c r="T59" s="11" t="s">
        <v>271</v>
      </c>
      <c r="U59" s="11" t="s">
        <v>251</v>
      </c>
      <c r="V59" s="12" t="s">
        <v>165</v>
      </c>
      <c r="X59" s="12"/>
      <c r="Y59" s="22"/>
    </row>
    <row r="60" spans="1:25" ht="17.25" customHeight="1">
      <c r="A60" s="13" t="s">
        <v>244</v>
      </c>
      <c r="B60" s="14">
        <v>3</v>
      </c>
      <c r="C60" s="14">
        <v>2</v>
      </c>
      <c r="D60" s="14" t="s">
        <v>272</v>
      </c>
      <c r="E60" s="19" t="s">
        <v>218</v>
      </c>
      <c r="F60" s="14" t="s">
        <v>189</v>
      </c>
      <c r="G60" s="14"/>
      <c r="H60" s="15" t="str">
        <f>IF($F60="","",IF($G60="",IFERROR(INDEX(참조_스케일목록!$B:$B,MATCH($F60,참조_스케일목록!$A:$A,0))&amp;" ("&amp;INDEX(참조_스케일목록!$C:$C,MATCH($F60,참조_스케일목록!$A:$A,0))&amp;")","※없는 ID"),"여 "&amp;IFERROR(INDEX(참조_스케일목록!$B:$B,MATCH($F60,참조_스케일목록!$A:$A,0))&amp;" ("&amp;INDEX(참조_스케일목록!$C:$C,MATCH($F60,참조_스케일목록!$A:$A,0))&amp;")","※없는 ID")&amp;" / 남 "&amp;IFERROR(INDEX(참조_스케일목록!$B:$B,MATCH($G60,참조_스케일목록!$A:$A,0))&amp;" ("&amp;INDEX(참조_스케일목록!$C:$C,MATCH($G60,참조_스케일목록!$A:$A,0))&amp;")","※없는 ID")))</f>
        <v>5도 쉬고 내려오기 (중성~높은두성)</v>
      </c>
      <c r="I60" s="14">
        <v>1</v>
      </c>
      <c r="J60" s="14">
        <v>7</v>
      </c>
      <c r="K60" s="14"/>
      <c r="L60" s="14"/>
      <c r="M60" s="14"/>
      <c r="N60" s="14"/>
      <c r="O60" s="14"/>
      <c r="P60" s="16" t="s">
        <v>119</v>
      </c>
      <c r="Q60" s="17"/>
      <c r="R60" s="18" t="str">
        <f t="shared" si="1"/>
        <v>OK</v>
      </c>
      <c r="T60" s="11" t="s">
        <v>273</v>
      </c>
      <c r="U60" s="11" t="s">
        <v>274</v>
      </c>
      <c r="V60" s="12" t="s">
        <v>155</v>
      </c>
      <c r="X60" s="12"/>
      <c r="Y60" s="22"/>
    </row>
    <row r="61" spans="1:25" ht="17.25" customHeight="1">
      <c r="A61" s="19" t="s">
        <v>244</v>
      </c>
      <c r="B61" s="14">
        <v>3</v>
      </c>
      <c r="C61" s="14">
        <v>3</v>
      </c>
      <c r="D61" s="14" t="s">
        <v>275</v>
      </c>
      <c r="E61" s="19" t="s">
        <v>276</v>
      </c>
      <c r="F61" s="14" t="s">
        <v>189</v>
      </c>
      <c r="G61" s="14" t="s">
        <v>193</v>
      </c>
      <c r="H61" s="15" t="str">
        <f>IF($F61="","",IF($G61="",IFERROR(INDEX(참조_스케일목록!$B:$B,MATCH($F61,참조_스케일목록!$A:$A,0))&amp;" ("&amp;INDEX(참조_스케일목록!$C:$C,MATCH($F61,참조_스케일목록!$A:$A,0))&amp;")","※없는 ID"),"여 "&amp;IFERROR(INDEX(참조_스케일목록!$B:$B,MATCH($F61,참조_스케일목록!$A:$A,0))&amp;" ("&amp;INDEX(참조_스케일목록!$C:$C,MATCH($F61,참조_스케일목록!$A:$A,0))&amp;")","※없는 ID")&amp;" / 남 "&amp;IFERROR(INDEX(참조_스케일목록!$B:$B,MATCH($G61,참조_스케일목록!$A:$A,0))&amp;" ("&amp;INDEX(참조_스케일목록!$C:$C,MATCH($G61,참조_스케일목록!$A:$A,0))&amp;")","※없는 ID")))</f>
        <v>여 5도 쉬고 내려오기 (중성~높은두성) / 남 5도 쉬고 내려오기 (중성~휘슬)</v>
      </c>
      <c r="I61" s="14">
        <v>1</v>
      </c>
      <c r="J61" s="14">
        <v>7</v>
      </c>
      <c r="K61" s="14"/>
      <c r="L61" s="14"/>
      <c r="M61" s="14"/>
      <c r="N61" s="14"/>
      <c r="O61" s="14"/>
      <c r="P61" s="16" t="s">
        <v>119</v>
      </c>
      <c r="Q61" s="17"/>
      <c r="R61" s="18" t="str">
        <f t="shared" si="1"/>
        <v>OK</v>
      </c>
      <c r="T61" s="11" t="s">
        <v>277</v>
      </c>
      <c r="U61" s="11" t="s">
        <v>274</v>
      </c>
      <c r="V61" s="12" t="s">
        <v>160</v>
      </c>
      <c r="X61" s="12">
        <v>37</v>
      </c>
      <c r="Y61" s="12" t="s">
        <v>278</v>
      </c>
    </row>
    <row r="62" spans="1:25" ht="17.25" customHeight="1">
      <c r="A62" s="19" t="s">
        <v>244</v>
      </c>
      <c r="B62" s="14">
        <v>3</v>
      </c>
      <c r="C62" s="14">
        <v>4</v>
      </c>
      <c r="D62" s="14" t="s">
        <v>279</v>
      </c>
      <c r="E62" s="13" t="s">
        <v>280</v>
      </c>
      <c r="F62" s="14" t="s">
        <v>159</v>
      </c>
      <c r="G62" s="14" t="s">
        <v>164</v>
      </c>
      <c r="H62" s="15" t="str">
        <f>IF($F62="","",IF($G62="",IFERROR(INDEX(참조_스케일목록!$B:$B,MATCH($F62,참조_스케일목록!$A:$A,0))&amp;" ("&amp;INDEX(참조_스케일목록!$C:$C,MATCH($F62,참조_스케일목록!$A:$A,0))&amp;")","※없는 ID"),"여 "&amp;IFERROR(INDEX(참조_스케일목록!$B:$B,MATCH($F62,참조_스케일목록!$A:$A,0))&amp;" ("&amp;INDEX(참조_스케일목록!$C:$C,MATCH($F62,참조_스케일목록!$A:$A,0))&amp;")","※없는 ID")&amp;" / 남 "&amp;IFERROR(INDEX(참조_스케일목록!$B:$B,MATCH($G62,참조_스케일목록!$A:$A,0))&amp;" ("&amp;INDEX(참조_스케일목록!$C:$C,MATCH($G62,참조_스케일목록!$A:$A,0))&amp;")","※없는 ID")))</f>
        <v>여 5도 스케일 (중성~높은두성) / 남 5도 스케일 (중성~휘슬)</v>
      </c>
      <c r="I62" s="14">
        <v>1</v>
      </c>
      <c r="J62" s="14">
        <v>7</v>
      </c>
      <c r="K62" s="14"/>
      <c r="L62" s="14"/>
      <c r="M62" s="14"/>
      <c r="N62" s="14"/>
      <c r="O62" s="14"/>
      <c r="P62" s="16" t="s">
        <v>119</v>
      </c>
      <c r="Q62" s="17"/>
      <c r="R62" s="18" t="str">
        <f t="shared" si="1"/>
        <v>OK</v>
      </c>
      <c r="T62" s="11" t="s">
        <v>281</v>
      </c>
      <c r="U62" s="11" t="s">
        <v>274</v>
      </c>
      <c r="V62" s="12" t="s">
        <v>165</v>
      </c>
      <c r="X62" s="12"/>
      <c r="Y62" s="12"/>
    </row>
    <row r="63" spans="1:25" ht="17.25" customHeight="1">
      <c r="A63" s="19" t="s">
        <v>244</v>
      </c>
      <c r="B63" s="14">
        <v>3</v>
      </c>
      <c r="C63" s="14">
        <v>5</v>
      </c>
      <c r="D63" s="14" t="s">
        <v>282</v>
      </c>
      <c r="E63" s="13" t="s">
        <v>283</v>
      </c>
      <c r="F63" s="14" t="s">
        <v>159</v>
      </c>
      <c r="G63" s="14" t="s">
        <v>164</v>
      </c>
      <c r="H63" s="15" t="str">
        <f>IF($F63="","",IF($G63="",IFERROR(INDEX(참조_스케일목록!$B:$B,MATCH($F63,참조_스케일목록!$A:$A,0))&amp;" ("&amp;INDEX(참조_스케일목록!$C:$C,MATCH($F63,참조_스케일목록!$A:$A,0))&amp;")","※없는 ID"),"여 "&amp;IFERROR(INDEX(참조_스케일목록!$B:$B,MATCH($F63,참조_스케일목록!$A:$A,0))&amp;" ("&amp;INDEX(참조_스케일목록!$C:$C,MATCH($F63,참조_스케일목록!$A:$A,0))&amp;")","※없는 ID")&amp;" / 남 "&amp;IFERROR(INDEX(참조_스케일목록!$B:$B,MATCH($G63,참조_스케일목록!$A:$A,0))&amp;" ("&amp;INDEX(참조_스케일목록!$C:$C,MATCH($G63,참조_스케일목록!$A:$A,0))&amp;")","※없는 ID")))</f>
        <v>여 5도 스케일 (중성~높은두성) / 남 5도 스케일 (중성~휘슬)</v>
      </c>
      <c r="I63" s="14">
        <v>1</v>
      </c>
      <c r="J63" s="14">
        <v>7</v>
      </c>
      <c r="K63" s="14"/>
      <c r="L63" s="14"/>
      <c r="M63" s="14"/>
      <c r="N63" s="14"/>
      <c r="O63" s="14"/>
      <c r="P63" s="16" t="s">
        <v>119</v>
      </c>
      <c r="Q63" s="17"/>
      <c r="R63" s="18" t="str">
        <f t="shared" si="1"/>
        <v>OK</v>
      </c>
      <c r="T63" s="11" t="s">
        <v>284</v>
      </c>
      <c r="U63" s="11" t="s">
        <v>285</v>
      </c>
      <c r="V63" s="12" t="s">
        <v>155</v>
      </c>
      <c r="X63" s="12"/>
      <c r="Y63" s="12"/>
    </row>
    <row r="64" spans="1:25" ht="17.25" customHeight="1">
      <c r="A64" s="19" t="s">
        <v>244</v>
      </c>
      <c r="B64" s="14">
        <v>4</v>
      </c>
      <c r="C64" s="14">
        <v>1</v>
      </c>
      <c r="D64" s="14" t="s">
        <v>286</v>
      </c>
      <c r="E64" s="19" t="s">
        <v>287</v>
      </c>
      <c r="F64" s="14" t="s">
        <v>205</v>
      </c>
      <c r="G64" s="14" t="s">
        <v>208</v>
      </c>
      <c r="H64" s="15" t="str">
        <f>IF($F64="","",IF($G64="",IFERROR(INDEX(참조_스케일목록!$B:$B,MATCH($F64,참조_스케일목록!$A:$A,0))&amp;" ("&amp;INDEX(참조_스케일목록!$C:$C,MATCH($F64,참조_스케일목록!$A:$A,0))&amp;")","※없는 ID"),"여 "&amp;IFERROR(INDEX(참조_스케일목록!$B:$B,MATCH($F64,참조_스케일목록!$A:$A,0))&amp;" ("&amp;INDEX(참조_스케일목록!$C:$C,MATCH($F64,참조_스케일목록!$A:$A,0))&amp;")","※없는 ID")&amp;" / 남 "&amp;IFERROR(INDEX(참조_스케일목록!$B:$B,MATCH($G64,참조_스케일목록!$A:$A,0))&amp;" ("&amp;INDEX(참조_스케일목록!$C:$C,MATCH($G64,참조_스케일목록!$A:$A,0))&amp;")","※없는 ID")))</f>
        <v>여 9도 쉬고 내려오기 (흉성~높은두성) / 남 9도 쉬고 내려오기 (흉성~휘슬)</v>
      </c>
      <c r="I64" s="14">
        <v>1</v>
      </c>
      <c r="J64" s="14">
        <v>7</v>
      </c>
      <c r="K64" s="14"/>
      <c r="L64" s="14"/>
      <c r="M64" s="14"/>
      <c r="N64" s="14"/>
      <c r="O64" s="14"/>
      <c r="P64" s="16" t="s">
        <v>119</v>
      </c>
      <c r="Q64" s="17"/>
      <c r="R64" s="18" t="str">
        <f t="shared" si="1"/>
        <v>OK</v>
      </c>
      <c r="T64" s="11" t="s">
        <v>288</v>
      </c>
      <c r="U64" s="11" t="s">
        <v>285</v>
      </c>
      <c r="V64" s="12" t="s">
        <v>160</v>
      </c>
      <c r="X64" s="12"/>
      <c r="Y64" s="12"/>
    </row>
    <row r="65" spans="1:25" ht="17.25" customHeight="1">
      <c r="A65" s="19" t="s">
        <v>244</v>
      </c>
      <c r="B65" s="14">
        <v>4</v>
      </c>
      <c r="C65" s="14">
        <v>2</v>
      </c>
      <c r="D65" s="14" t="s">
        <v>289</v>
      </c>
      <c r="E65" s="19" t="s">
        <v>290</v>
      </c>
      <c r="F65" s="14" t="s">
        <v>159</v>
      </c>
      <c r="G65" s="14" t="s">
        <v>164</v>
      </c>
      <c r="H65" s="15" t="str">
        <f>IF($F65="","",IF($G65="",IFERROR(INDEX(참조_스케일목록!$B:$B,MATCH($F65,참조_스케일목록!$A:$A,0))&amp;" ("&amp;INDEX(참조_스케일목록!$C:$C,MATCH($F65,참조_스케일목록!$A:$A,0))&amp;")","※없는 ID"),"여 "&amp;IFERROR(INDEX(참조_스케일목록!$B:$B,MATCH($F65,참조_스케일목록!$A:$A,0))&amp;" ("&amp;INDEX(참조_스케일목록!$C:$C,MATCH($F65,참조_스케일목록!$A:$A,0))&amp;")","※없는 ID")&amp;" / 남 "&amp;IFERROR(INDEX(참조_스케일목록!$B:$B,MATCH($G65,참조_스케일목록!$A:$A,0))&amp;" ("&amp;INDEX(참조_스케일목록!$C:$C,MATCH($G65,참조_스케일목록!$A:$A,0))&amp;")","※없는 ID")))</f>
        <v>여 5도 스케일 (중성~높은두성) / 남 5도 스케일 (중성~휘슬)</v>
      </c>
      <c r="I65" s="14">
        <v>1</v>
      </c>
      <c r="J65" s="14">
        <v>7</v>
      </c>
      <c r="K65" s="14"/>
      <c r="L65" s="14"/>
      <c r="M65" s="14"/>
      <c r="N65" s="14"/>
      <c r="O65" s="14"/>
      <c r="P65" s="16" t="s">
        <v>119</v>
      </c>
      <c r="Q65" s="17"/>
      <c r="R65" s="18" t="str">
        <f t="shared" si="1"/>
        <v>OK</v>
      </c>
      <c r="T65" s="11" t="s">
        <v>291</v>
      </c>
      <c r="U65" s="11" t="s">
        <v>285</v>
      </c>
      <c r="V65" s="12" t="s">
        <v>165</v>
      </c>
      <c r="X65" s="12"/>
      <c r="Y65" s="12"/>
    </row>
    <row r="66" spans="1:25" ht="17.25" customHeight="1">
      <c r="A66" s="13" t="s">
        <v>244</v>
      </c>
      <c r="B66" s="14">
        <v>4</v>
      </c>
      <c r="C66" s="14">
        <v>3</v>
      </c>
      <c r="D66" s="14" t="s">
        <v>292</v>
      </c>
      <c r="E66" s="21" t="s">
        <v>293</v>
      </c>
      <c r="F66" s="14" t="s">
        <v>198</v>
      </c>
      <c r="G66" s="14" t="s">
        <v>208</v>
      </c>
      <c r="H66" s="15" t="str">
        <f>IF($F66="","",IF($G66="",IFERROR(INDEX(참조_스케일목록!$B:$B,MATCH($F66,참조_스케일목록!$A:$A,0))&amp;" ("&amp;INDEX(참조_스케일목록!$C:$C,MATCH($F66,참조_스케일목록!$A:$A,0))&amp;")","※없는 ID"),"여 "&amp;IFERROR(INDEX(참조_스케일목록!$B:$B,MATCH($F66,참조_스케일목록!$A:$A,0))&amp;" ("&amp;INDEX(참조_스케일목록!$C:$C,MATCH($F66,참조_스케일목록!$A:$A,0))&amp;")","※없는 ID")&amp;" / 남 "&amp;IFERROR(INDEX(참조_스케일목록!$B:$B,MATCH($G66,참조_스케일목록!$A:$A,0))&amp;" ("&amp;INDEX(참조_스케일목록!$C:$C,MATCH($G66,참조_스케일목록!$A:$A,0))&amp;")","※없는 ID")))</f>
        <v>여 9도 스케일 (흉성~높은두성) / 남 9도 쉬고 내려오기 (흉성~휘슬)</v>
      </c>
      <c r="I66" s="14">
        <v>1</v>
      </c>
      <c r="J66" s="14">
        <v>7</v>
      </c>
      <c r="K66" s="14"/>
      <c r="L66" s="14"/>
      <c r="M66" s="14"/>
      <c r="N66" s="14"/>
      <c r="O66" s="14"/>
      <c r="P66" s="16" t="s">
        <v>119</v>
      </c>
      <c r="Q66" s="17"/>
      <c r="R66" s="18" t="str">
        <f t="shared" si="1"/>
        <v>OK</v>
      </c>
      <c r="T66" s="11" t="s">
        <v>294</v>
      </c>
      <c r="U66" s="11" t="s">
        <v>295</v>
      </c>
      <c r="V66" s="12" t="s">
        <v>296</v>
      </c>
      <c r="X66" s="12">
        <v>38</v>
      </c>
      <c r="Y66" s="12" t="s">
        <v>297</v>
      </c>
    </row>
    <row r="67" spans="1:25" ht="17.25" customHeight="1">
      <c r="A67" s="19" t="s">
        <v>244</v>
      </c>
      <c r="B67" s="14">
        <v>4</v>
      </c>
      <c r="C67" s="14">
        <v>4</v>
      </c>
      <c r="D67" s="14" t="s">
        <v>298</v>
      </c>
      <c r="E67" s="13" t="s">
        <v>299</v>
      </c>
      <c r="F67" s="14" t="s">
        <v>198</v>
      </c>
      <c r="G67" s="14" t="s">
        <v>200</v>
      </c>
      <c r="H67" s="15" t="str">
        <f>IF($F67="","",IF($G67="",IFERROR(INDEX(참조_스케일목록!$B:$B,MATCH($F67,참조_스케일목록!$A:$A,0))&amp;" ("&amp;INDEX(참조_스케일목록!$C:$C,MATCH($F67,참조_스케일목록!$A:$A,0))&amp;")","※없는 ID"),"여 "&amp;IFERROR(INDEX(참조_스케일목록!$B:$B,MATCH($F67,참조_스케일목록!$A:$A,0))&amp;" ("&amp;INDEX(참조_스케일목록!$C:$C,MATCH($F67,참조_스케일목록!$A:$A,0))&amp;")","※없는 ID")&amp;" / 남 "&amp;IFERROR(INDEX(참조_스케일목록!$B:$B,MATCH($G67,참조_스케일목록!$A:$A,0))&amp;" ("&amp;INDEX(참조_스케일목록!$C:$C,MATCH($G67,참조_스케일목록!$A:$A,0))&amp;")","※없는 ID")))</f>
        <v>여 9도 스케일 (흉성~높은두성) / 남 9도 스케일 (흉성~휘슬)</v>
      </c>
      <c r="I67" s="14">
        <v>1</v>
      </c>
      <c r="J67" s="14">
        <v>7</v>
      </c>
      <c r="K67" s="14"/>
      <c r="L67" s="14"/>
      <c r="M67" s="14"/>
      <c r="N67" s="14"/>
      <c r="O67" s="14"/>
      <c r="P67" s="16" t="s">
        <v>119</v>
      </c>
      <c r="Q67" s="17"/>
      <c r="R67" s="18" t="str">
        <f t="shared" ref="R67:R98" si="2">IF($A67="","",IF(AND($C67&lt;&gt;"",OR($C67&lt;1,$C67&gt;5,MOD($C67*2,1)&lt;&gt;0)),"자리는 1~5 (0.5단위)",IF(COUNTIFS($A$3:$A$170,$A67,$B$3:$B$170,$B67,$C$3:$C$170,$C67)&gt;1,"같은 자리 중복",IF($D67="","스킬ID 비었음",IF(COUNTIF($D$3:$D$170,$D67)&gt;1,"스킬ID 중복",IF(AND($G67&lt;&gt;"",$F67=""),"여 스케일도 필요",IF(AND($K67&lt;&gt;"",ISNA(MATCH($K67,$D$3:$D$170,0))),"선행스킬1 없음",IF(AND($L67&lt;&gt;"",ISNA(MATCH($L67,$D$3:$D$170,0))),"선행스킬2 없음",IF(AND($N67&lt;&gt;"",ISNA(MATCH($N67,$D$3:$D$170,0))),"타계열선행 없음","OK")))))))))</f>
        <v>OK</v>
      </c>
      <c r="T67" s="11" t="s">
        <v>300</v>
      </c>
      <c r="U67" s="11" t="s">
        <v>295</v>
      </c>
      <c r="V67" s="12" t="s">
        <v>301</v>
      </c>
      <c r="X67" s="12"/>
      <c r="Y67" s="12"/>
    </row>
    <row r="68" spans="1:25" ht="17.25" customHeight="1">
      <c r="A68" s="13" t="s">
        <v>244</v>
      </c>
      <c r="B68" s="14">
        <v>4</v>
      </c>
      <c r="C68" s="14">
        <v>5</v>
      </c>
      <c r="D68" s="14" t="s">
        <v>302</v>
      </c>
      <c r="E68" s="13" t="s">
        <v>303</v>
      </c>
      <c r="F68" s="14" t="s">
        <v>159</v>
      </c>
      <c r="G68" s="14" t="s">
        <v>164</v>
      </c>
      <c r="H68" s="15" t="str">
        <f>IF($F68="","",IF($G68="",IFERROR(INDEX(참조_스케일목록!$B:$B,MATCH($F68,참조_스케일목록!$A:$A,0))&amp;" ("&amp;INDEX(참조_스케일목록!$C:$C,MATCH($F68,참조_스케일목록!$A:$A,0))&amp;")","※없는 ID"),"여 "&amp;IFERROR(INDEX(참조_스케일목록!$B:$B,MATCH($F68,참조_스케일목록!$A:$A,0))&amp;" ("&amp;INDEX(참조_스케일목록!$C:$C,MATCH($F68,참조_스케일목록!$A:$A,0))&amp;")","※없는 ID")&amp;" / 남 "&amp;IFERROR(INDEX(참조_스케일목록!$B:$B,MATCH($G68,참조_스케일목록!$A:$A,0))&amp;" ("&amp;INDEX(참조_스케일목록!$C:$C,MATCH($G68,참조_스케일목록!$A:$A,0))&amp;")","※없는 ID")))</f>
        <v>여 5도 스케일 (중성~높은두성) / 남 5도 스케일 (중성~휘슬)</v>
      </c>
      <c r="I68" s="14">
        <v>1</v>
      </c>
      <c r="J68" s="14">
        <v>7</v>
      </c>
      <c r="K68" s="14"/>
      <c r="L68" s="14"/>
      <c r="M68" s="14"/>
      <c r="N68" s="14"/>
      <c r="O68" s="14"/>
      <c r="P68" s="16" t="s">
        <v>119</v>
      </c>
      <c r="Q68" s="17"/>
      <c r="R68" s="18" t="str">
        <f t="shared" si="2"/>
        <v>OK</v>
      </c>
      <c r="T68" s="11" t="s">
        <v>304</v>
      </c>
      <c r="U68" s="11" t="s">
        <v>295</v>
      </c>
      <c r="V68" s="12" t="s">
        <v>305</v>
      </c>
      <c r="X68" s="12"/>
      <c r="Y68" s="12"/>
    </row>
    <row r="69" spans="1:25" ht="17.25" customHeight="1">
      <c r="A69" s="13" t="s">
        <v>244</v>
      </c>
      <c r="B69" s="14">
        <v>5</v>
      </c>
      <c r="C69" s="14">
        <v>1</v>
      </c>
      <c r="D69" s="14" t="s">
        <v>306</v>
      </c>
      <c r="E69" s="19" t="s">
        <v>307</v>
      </c>
      <c r="F69" s="14" t="s">
        <v>205</v>
      </c>
      <c r="G69" s="14" t="s">
        <v>208</v>
      </c>
      <c r="H69" s="15" t="str">
        <f>IF($F69="","",IF($G69="",IFERROR(INDEX(참조_스케일목록!$B:$B,MATCH($F69,참조_스케일목록!$A:$A,0))&amp;" ("&amp;INDEX(참조_스케일목록!$C:$C,MATCH($F69,참조_스케일목록!$A:$A,0))&amp;")","※없는 ID"),"여 "&amp;IFERROR(INDEX(참조_스케일목록!$B:$B,MATCH($F69,참조_스케일목록!$A:$A,0))&amp;" ("&amp;INDEX(참조_스케일목록!$C:$C,MATCH($F69,참조_스케일목록!$A:$A,0))&amp;")","※없는 ID")&amp;" / 남 "&amp;IFERROR(INDEX(참조_스케일목록!$B:$B,MATCH($G69,참조_스케일목록!$A:$A,0))&amp;" ("&amp;INDEX(참조_스케일목록!$C:$C,MATCH($G69,참조_스케일목록!$A:$A,0))&amp;")","※없는 ID")))</f>
        <v>여 9도 쉬고 내려오기 (흉성~높은두성) / 남 9도 쉬고 내려오기 (흉성~휘슬)</v>
      </c>
      <c r="I69" s="14">
        <v>1</v>
      </c>
      <c r="J69" s="14">
        <v>7</v>
      </c>
      <c r="K69" s="14"/>
      <c r="L69" s="14"/>
      <c r="M69" s="14"/>
      <c r="N69" s="14"/>
      <c r="O69" s="14"/>
      <c r="P69" s="16" t="s">
        <v>119</v>
      </c>
      <c r="Q69" s="17"/>
      <c r="R69" s="18" t="str">
        <f t="shared" si="2"/>
        <v>OK</v>
      </c>
      <c r="T69" s="11" t="s">
        <v>308</v>
      </c>
      <c r="U69" s="11" t="s">
        <v>309</v>
      </c>
      <c r="V69" s="12" t="s">
        <v>147</v>
      </c>
      <c r="X69" s="12"/>
      <c r="Y69" s="12"/>
    </row>
    <row r="70" spans="1:25" ht="17.25" customHeight="1">
      <c r="A70" s="13" t="s">
        <v>244</v>
      </c>
      <c r="B70" s="14">
        <v>5</v>
      </c>
      <c r="C70" s="14">
        <v>2</v>
      </c>
      <c r="D70" s="14" t="s">
        <v>310</v>
      </c>
      <c r="E70" s="17"/>
      <c r="F70" s="14"/>
      <c r="G70" s="14"/>
      <c r="H70" s="15" t="str">
        <f>IF($F70="","",IF($G70="",IFERROR(INDEX(참조_스케일목록!$B:$B,MATCH($F70,참조_스케일목록!$A:$A,0))&amp;" ("&amp;INDEX(참조_스케일목록!$C:$C,MATCH($F70,참조_스케일목록!$A:$A,0))&amp;")","※없는 ID"),"여 "&amp;IFERROR(INDEX(참조_스케일목록!$B:$B,MATCH($F70,참조_스케일목록!$A:$A,0))&amp;" ("&amp;INDEX(참조_스케일목록!$C:$C,MATCH($F70,참조_스케일목록!$A:$A,0))&amp;")","※없는 ID")&amp;" / 남 "&amp;IFERROR(INDEX(참조_스케일목록!$B:$B,MATCH($G70,참조_스케일목록!$A:$A,0))&amp;" ("&amp;INDEX(참조_스케일목록!$C:$C,MATCH($G70,참조_스케일목록!$A:$A,0))&amp;")","※없는 ID")))</f>
        <v/>
      </c>
      <c r="I70" s="14"/>
      <c r="J70" s="14"/>
      <c r="K70" s="14"/>
      <c r="L70" s="14"/>
      <c r="M70" s="14"/>
      <c r="N70" s="14"/>
      <c r="O70" s="14"/>
      <c r="P70" s="16"/>
      <c r="Q70" s="17"/>
      <c r="R70" s="18" t="str">
        <f t="shared" si="2"/>
        <v>OK</v>
      </c>
      <c r="T70" s="11" t="s">
        <v>311</v>
      </c>
      <c r="U70" s="12" t="s">
        <v>312</v>
      </c>
      <c r="V70" s="12" t="s">
        <v>96</v>
      </c>
      <c r="X70" s="12"/>
      <c r="Y70" s="11"/>
    </row>
    <row r="71" spans="1:25" ht="17.25" customHeight="1">
      <c r="A71" s="13" t="s">
        <v>244</v>
      </c>
      <c r="B71" s="14">
        <v>5</v>
      </c>
      <c r="C71" s="14">
        <v>3</v>
      </c>
      <c r="D71" s="14" t="s">
        <v>313</v>
      </c>
      <c r="E71" s="17"/>
      <c r="F71" s="14"/>
      <c r="G71" s="14"/>
      <c r="H71" s="15" t="str">
        <f>IF($F71="","",IF($G71="",IFERROR(INDEX(참조_스케일목록!$B:$B,MATCH($F71,참조_스케일목록!$A:$A,0))&amp;" ("&amp;INDEX(참조_스케일목록!$C:$C,MATCH($F71,참조_스케일목록!$A:$A,0))&amp;")","※없는 ID"),"여 "&amp;IFERROR(INDEX(참조_스케일목록!$B:$B,MATCH($F71,참조_스케일목록!$A:$A,0))&amp;" ("&amp;INDEX(참조_스케일목록!$C:$C,MATCH($F71,참조_스케일목록!$A:$A,0))&amp;")","※없는 ID")&amp;" / 남 "&amp;IFERROR(INDEX(참조_스케일목록!$B:$B,MATCH($G71,참조_스케일목록!$A:$A,0))&amp;" ("&amp;INDEX(참조_스케일목록!$C:$C,MATCH($G71,참조_스케일목록!$A:$A,0))&amp;")","※없는 ID")))</f>
        <v/>
      </c>
      <c r="I71" s="14"/>
      <c r="J71" s="14"/>
      <c r="K71" s="14"/>
      <c r="L71" s="14"/>
      <c r="M71" s="14"/>
      <c r="N71" s="14"/>
      <c r="O71" s="14"/>
      <c r="P71" s="16"/>
      <c r="Q71" s="17"/>
      <c r="R71" s="18" t="str">
        <f t="shared" si="2"/>
        <v>OK</v>
      </c>
      <c r="T71" s="11" t="s">
        <v>314</v>
      </c>
      <c r="U71" s="12" t="s">
        <v>312</v>
      </c>
      <c r="V71" s="12" t="s">
        <v>101</v>
      </c>
      <c r="X71" s="12"/>
      <c r="Y71" s="12"/>
    </row>
    <row r="72" spans="1:25" ht="17.25" customHeight="1">
      <c r="A72" s="13" t="s">
        <v>244</v>
      </c>
      <c r="B72" s="14">
        <v>5</v>
      </c>
      <c r="C72" s="14">
        <v>4</v>
      </c>
      <c r="D72" s="14" t="s">
        <v>315</v>
      </c>
      <c r="E72" s="17"/>
      <c r="F72" s="14"/>
      <c r="G72" s="14"/>
      <c r="H72" s="15" t="str">
        <f>IF($F72="","",IF($G72="",IFERROR(INDEX(참조_스케일목록!$B:$B,MATCH($F72,참조_스케일목록!$A:$A,0))&amp;" ("&amp;INDEX(참조_스케일목록!$C:$C,MATCH($F72,참조_스케일목록!$A:$A,0))&amp;")","※없는 ID"),"여 "&amp;IFERROR(INDEX(참조_스케일목록!$B:$B,MATCH($F72,참조_스케일목록!$A:$A,0))&amp;" ("&amp;INDEX(참조_스케일목록!$C:$C,MATCH($F72,참조_스케일목록!$A:$A,0))&amp;")","※없는 ID")&amp;" / 남 "&amp;IFERROR(INDEX(참조_스케일목록!$B:$B,MATCH($G72,참조_스케일목록!$A:$A,0))&amp;" ("&amp;INDEX(참조_스케일목록!$C:$C,MATCH($G72,참조_스케일목록!$A:$A,0))&amp;")","※없는 ID")))</f>
        <v/>
      </c>
      <c r="I72" s="14"/>
      <c r="J72" s="14"/>
      <c r="K72" s="14"/>
      <c r="L72" s="14"/>
      <c r="M72" s="14"/>
      <c r="N72" s="14"/>
      <c r="O72" s="14"/>
      <c r="P72" s="16"/>
      <c r="Q72" s="17"/>
      <c r="R72" s="18" t="str">
        <f t="shared" si="2"/>
        <v>OK</v>
      </c>
      <c r="T72" s="11" t="s">
        <v>316</v>
      </c>
      <c r="U72" s="12" t="s">
        <v>312</v>
      </c>
      <c r="V72" s="12" t="s">
        <v>115</v>
      </c>
      <c r="X72" s="12"/>
      <c r="Y72" s="22"/>
    </row>
    <row r="73" spans="1:25" ht="17.25" customHeight="1">
      <c r="A73" s="13" t="s">
        <v>244</v>
      </c>
      <c r="B73" s="14">
        <v>5</v>
      </c>
      <c r="C73" s="14">
        <v>5</v>
      </c>
      <c r="D73" s="14" t="s">
        <v>317</v>
      </c>
      <c r="E73" s="17"/>
      <c r="F73" s="14"/>
      <c r="G73" s="14"/>
      <c r="H73" s="15" t="str">
        <f>IF($F73="","",IF($G73="",IFERROR(INDEX(참조_스케일목록!$B:$B,MATCH($F73,참조_스케일목록!$A:$A,0))&amp;" ("&amp;INDEX(참조_스케일목록!$C:$C,MATCH($F73,참조_스케일목록!$A:$A,0))&amp;")","※없는 ID"),"여 "&amp;IFERROR(INDEX(참조_스케일목록!$B:$B,MATCH($F73,참조_스케일목록!$A:$A,0))&amp;" ("&amp;INDEX(참조_스케일목록!$C:$C,MATCH($F73,참조_스케일목록!$A:$A,0))&amp;")","※없는 ID")&amp;" / 남 "&amp;IFERROR(INDEX(참조_스케일목록!$B:$B,MATCH($G73,참조_스케일목록!$A:$A,0))&amp;" ("&amp;INDEX(참조_스케일목록!$C:$C,MATCH($G73,참조_스케일목록!$A:$A,0))&amp;")","※없는 ID")))</f>
        <v/>
      </c>
      <c r="I73" s="14"/>
      <c r="J73" s="14"/>
      <c r="K73" s="14"/>
      <c r="L73" s="14"/>
      <c r="M73" s="14"/>
      <c r="N73" s="14"/>
      <c r="O73" s="14"/>
      <c r="P73" s="16"/>
      <c r="Q73" s="17"/>
      <c r="R73" s="18" t="str">
        <f t="shared" si="2"/>
        <v>OK</v>
      </c>
      <c r="T73" s="11" t="s">
        <v>318</v>
      </c>
      <c r="U73" s="12" t="s">
        <v>312</v>
      </c>
      <c r="V73" s="12" t="s">
        <v>121</v>
      </c>
      <c r="X73" s="12"/>
      <c r="Y73" s="22"/>
    </row>
    <row r="74" spans="1:25" ht="17.25" customHeight="1">
      <c r="A74" s="13" t="s">
        <v>319</v>
      </c>
      <c r="B74" s="14">
        <v>1</v>
      </c>
      <c r="C74" s="14">
        <v>1</v>
      </c>
      <c r="D74" s="14" t="s">
        <v>427</v>
      </c>
      <c r="E74" s="21"/>
      <c r="F74" s="14"/>
      <c r="G74" s="14"/>
      <c r="H74" s="15"/>
      <c r="I74" s="14"/>
      <c r="J74" s="14"/>
      <c r="K74" s="14"/>
      <c r="L74" s="14"/>
      <c r="M74" s="14"/>
      <c r="N74" s="14"/>
      <c r="O74" s="14"/>
      <c r="P74" s="16" t="s">
        <v>89</v>
      </c>
      <c r="Q74" s="13"/>
      <c r="R74" s="18" t="str">
        <f t="shared" si="2"/>
        <v>OK</v>
      </c>
      <c r="T74" s="11"/>
      <c r="U74" s="12"/>
      <c r="V74" s="12"/>
    </row>
    <row r="75" spans="1:25" ht="17.25" customHeight="1">
      <c r="A75" s="13" t="s">
        <v>319</v>
      </c>
      <c r="B75" s="14">
        <v>1</v>
      </c>
      <c r="C75" s="14">
        <v>2</v>
      </c>
      <c r="D75" s="14" t="s">
        <v>321</v>
      </c>
      <c r="E75" s="21" t="s">
        <v>156</v>
      </c>
      <c r="F75" s="14" t="s">
        <v>406</v>
      </c>
      <c r="G75" s="14" t="s">
        <v>407</v>
      </c>
      <c r="H75" s="15" t="str">
        <f>IF($F75="","",IF($G75="",IFERROR(INDEX(참조_스케일목록!$B:$B,MATCH($F75,참조_스케일목록!$A:$A,0))&amp;" ("&amp;INDEX(참조_스케일목록!$C:$C,MATCH($F75,참조_스케일목록!$A:$A,0))&amp;")","※없는 ID"),"여 "&amp;IFERROR(INDEX(참조_스케일목록!$B:$B,MATCH($F75,참조_스케일목록!$A:$A,0))&amp;" ("&amp;INDEX(참조_스케일목록!$C:$C,MATCH($F75,참조_스케일목록!$A:$A,0))&amp;")","※없는 ID")&amp;" / 남 "&amp;IFERROR(INDEX(참조_스케일목록!$B:$B,MATCH($G75,참조_스케일목록!$A:$A,0))&amp;" ("&amp;INDEX(참조_스케일목록!$C:$C,MATCH($G75,참조_스케일목록!$A:$A,0))&amp;")","※없는 ID")))</f>
        <v>여 5도 쉬고 내려오기 (중성~낮은중성) / 남 5도 쉬고 내려오기 (중성~높은중성)</v>
      </c>
      <c r="I75" s="14">
        <v>1</v>
      </c>
      <c r="J75" s="14">
        <v>7</v>
      </c>
      <c r="K75" s="14"/>
      <c r="L75" s="14"/>
      <c r="M75" s="14"/>
      <c r="N75" s="14"/>
      <c r="O75" s="14">
        <v>13</v>
      </c>
      <c r="P75" s="16" t="s">
        <v>89</v>
      </c>
      <c r="Q75" s="13"/>
      <c r="R75" s="18" t="str">
        <f t="shared" si="2"/>
        <v>OK</v>
      </c>
      <c r="T75" s="11"/>
      <c r="U75" s="12"/>
      <c r="V75" s="12"/>
    </row>
    <row r="76" spans="1:25" ht="17.25" customHeight="1">
      <c r="A76" s="13" t="s">
        <v>319</v>
      </c>
      <c r="B76" s="14">
        <v>1</v>
      </c>
      <c r="C76" s="14">
        <v>3</v>
      </c>
      <c r="D76" s="14" t="s">
        <v>322</v>
      </c>
      <c r="E76" s="17" t="s">
        <v>413</v>
      </c>
      <c r="F76" s="14" t="s">
        <v>146</v>
      </c>
      <c r="G76" s="14" t="s">
        <v>150</v>
      </c>
      <c r="H76" s="15" t="str">
        <f>IF($F76="","",IF($G76="",IFERROR(INDEX(참조_스케일목록!$B:$B,MATCH($F76,참조_스케일목록!$A:$A,0))&amp;" ("&amp;INDEX(참조_스케일목록!$C:$C,MATCH($F76,참조_스케일목록!$A:$A,0))&amp;")","※없는 ID"),"여 "&amp;IFERROR(INDEX(참조_스케일목록!$B:$B,MATCH($F76,참조_스케일목록!$A:$A,0))&amp;" ("&amp;INDEX(참조_스케일목록!$C:$C,MATCH($F76,참조_스케일목록!$A:$A,0))&amp;")","※없는 ID")&amp;" / 남 "&amp;IFERROR(INDEX(참조_스케일목록!$B:$B,MATCH($G76,참조_스케일목록!$A:$A,0))&amp;" ("&amp;INDEX(참조_스케일목록!$C:$C,MATCH($G76,참조_스케일목록!$A:$A,0))&amp;")","※없는 ID")))</f>
        <v>여 5도 스케일 (중성~낮은중성) / 남 5도 스케일 (중성~높은중성)</v>
      </c>
      <c r="I76" s="14">
        <v>1</v>
      </c>
      <c r="J76" s="14">
        <v>7</v>
      </c>
      <c r="K76" s="14"/>
      <c r="L76" s="14"/>
      <c r="M76" s="14"/>
      <c r="N76" s="14"/>
      <c r="O76" s="14"/>
      <c r="P76" s="16" t="s">
        <v>89</v>
      </c>
      <c r="Q76" s="13"/>
      <c r="R76" s="18" t="str">
        <f t="shared" si="2"/>
        <v>OK</v>
      </c>
      <c r="T76" s="11"/>
      <c r="U76" s="12"/>
      <c r="V76" s="12"/>
    </row>
    <row r="77" spans="1:25" ht="17.25" customHeight="1">
      <c r="A77" s="13" t="s">
        <v>319</v>
      </c>
      <c r="B77" s="14">
        <v>1</v>
      </c>
      <c r="C77" s="14">
        <v>4</v>
      </c>
      <c r="D77" s="14" t="s">
        <v>323</v>
      </c>
      <c r="E77" s="21" t="s">
        <v>442</v>
      </c>
      <c r="F77" s="14"/>
      <c r="G77" s="14"/>
      <c r="H77" s="15" t="str">
        <f>IF($F77="","",IF($G77="",IFERROR(INDEX(참조_스케일목록!$B:$B,MATCH($F77,참조_스케일목록!$A:$A,0))&amp;" ("&amp;INDEX(참조_스케일목록!$C:$C,MATCH($F77,참조_스케일목록!$A:$A,0))&amp;")","※없는 ID"),"여 "&amp;IFERROR(INDEX(참조_스케일목록!$B:$B,MATCH($F77,참조_스케일목록!$A:$A,0))&amp;" ("&amp;INDEX(참조_스케일목록!$C:$C,MATCH($F77,참조_스케일목록!$A:$A,0))&amp;")","※없는 ID")&amp;" / 남 "&amp;IFERROR(INDEX(참조_스케일목록!$B:$B,MATCH($G77,참조_스케일목록!$A:$A,0))&amp;" ("&amp;INDEX(참조_스케일목록!$C:$C,MATCH($G77,참조_스케일목록!$A:$A,0))&amp;")","※없는 ID")))</f>
        <v/>
      </c>
      <c r="I77" s="14"/>
      <c r="J77" s="14"/>
      <c r="K77" s="14"/>
      <c r="L77" s="14"/>
      <c r="M77" s="14"/>
      <c r="N77" s="14"/>
      <c r="O77" s="14"/>
      <c r="P77" s="16" t="s">
        <v>89</v>
      </c>
      <c r="Q77" s="13"/>
      <c r="R77" s="18" t="str">
        <f t="shared" si="2"/>
        <v>OK</v>
      </c>
      <c r="T77" s="11"/>
      <c r="U77" s="12"/>
      <c r="V77" s="12"/>
    </row>
    <row r="78" spans="1:25" ht="17.25" customHeight="1">
      <c r="A78" s="13" t="s">
        <v>319</v>
      </c>
      <c r="B78" s="14">
        <v>1</v>
      </c>
      <c r="C78" s="14">
        <v>5</v>
      </c>
      <c r="D78" s="14" t="s">
        <v>324</v>
      </c>
      <c r="E78" s="13"/>
      <c r="F78" s="14"/>
      <c r="G78" s="14"/>
      <c r="H78" s="15" t="str">
        <f>IF($F78="","",IF($G78="",IFERROR(INDEX(참조_스케일목록!$B:$B,MATCH($F78,참조_스케일목록!$A:$A,0))&amp;" ("&amp;INDEX(참조_스케일목록!$C:$C,MATCH($F78,참조_스케일목록!$A:$A,0))&amp;")","※없는 ID"),"여 "&amp;IFERROR(INDEX(참조_스케일목록!$B:$B,MATCH($F78,참조_스케일목록!$A:$A,0))&amp;" ("&amp;INDEX(참조_스케일목록!$C:$C,MATCH($F78,참조_스케일목록!$A:$A,0))&amp;")","※없는 ID")&amp;" / 남 "&amp;IFERROR(INDEX(참조_스케일목록!$B:$B,MATCH($G78,참조_스케일목록!$A:$A,0))&amp;" ("&amp;INDEX(참조_스케일목록!$C:$C,MATCH($G78,참조_스케일목록!$A:$A,0))&amp;")","※없는 ID")))</f>
        <v/>
      </c>
      <c r="I78" s="14"/>
      <c r="J78" s="14"/>
      <c r="K78" s="14"/>
      <c r="L78" s="14"/>
      <c r="M78" s="14"/>
      <c r="N78" s="14"/>
      <c r="O78" s="14"/>
      <c r="P78" s="16" t="s">
        <v>89</v>
      </c>
      <c r="Q78" s="13"/>
      <c r="R78" s="18" t="str">
        <f t="shared" si="2"/>
        <v>OK</v>
      </c>
      <c r="T78" s="11"/>
      <c r="U78" s="11"/>
      <c r="V78" s="12"/>
    </row>
    <row r="79" spans="1:25" ht="17.25" customHeight="1">
      <c r="A79" s="13" t="s">
        <v>319</v>
      </c>
      <c r="B79" s="14">
        <v>2</v>
      </c>
      <c r="C79" s="14">
        <v>1</v>
      </c>
      <c r="D79" s="14" t="s">
        <v>325</v>
      </c>
      <c r="E79" s="19"/>
      <c r="F79" s="14"/>
      <c r="G79" s="14"/>
      <c r="H79" s="15"/>
      <c r="I79" s="14"/>
      <c r="J79" s="14"/>
      <c r="K79" s="14"/>
      <c r="L79" s="14"/>
      <c r="M79" s="14"/>
      <c r="N79" s="14"/>
      <c r="O79" s="14"/>
      <c r="P79" s="16" t="s">
        <v>89</v>
      </c>
      <c r="Q79" s="13"/>
      <c r="R79" s="18" t="str">
        <f t="shared" si="2"/>
        <v>OK</v>
      </c>
      <c r="T79" s="11"/>
      <c r="U79" s="11"/>
      <c r="V79" s="12"/>
    </row>
    <row r="80" spans="1:25" ht="17.25" customHeight="1">
      <c r="A80" s="13" t="s">
        <v>319</v>
      </c>
      <c r="B80" s="14">
        <v>2</v>
      </c>
      <c r="C80" s="14">
        <v>2</v>
      </c>
      <c r="D80" s="14" t="s">
        <v>326</v>
      </c>
      <c r="E80" s="19" t="s">
        <v>218</v>
      </c>
      <c r="F80" s="14" t="s">
        <v>186</v>
      </c>
      <c r="G80" s="14"/>
      <c r="H80" s="15" t="str">
        <f>IF($F80="","",IF($G80="",IFERROR(INDEX(참조_스케일목록!$B:$B,MATCH($F80,참조_스케일목록!$A:$A,0))&amp;" ("&amp;INDEX(참조_스케일목록!$C:$C,MATCH($F80,참조_스케일목록!$A:$A,0))&amp;")","※없는 ID"),"여 "&amp;IFERROR(INDEX(참조_스케일목록!$B:$B,MATCH($F80,참조_스케일목록!$A:$A,0))&amp;" ("&amp;INDEX(참조_스케일목록!$C:$C,MATCH($F80,참조_스케일목록!$A:$A,0))&amp;")","※없는 ID")&amp;" / 남 "&amp;IFERROR(INDEX(참조_스케일목록!$B:$B,MATCH($G80,참조_스케일목록!$A:$A,0))&amp;" ("&amp;INDEX(참조_스케일목록!$C:$C,MATCH($G80,참조_스케일목록!$A:$A,0))&amp;")","※없는 ID")))</f>
        <v>5도 쉬고 내려오기 (중성~낮은두성)</v>
      </c>
      <c r="I80" s="14">
        <v>1</v>
      </c>
      <c r="J80" s="14">
        <v>7</v>
      </c>
      <c r="K80" s="14" t="s">
        <v>430</v>
      </c>
      <c r="L80" s="14"/>
      <c r="M80" s="14"/>
      <c r="N80" s="14"/>
      <c r="O80" s="14"/>
      <c r="P80" s="16" t="s">
        <v>89</v>
      </c>
      <c r="Q80" s="13"/>
      <c r="R80" s="18" t="str">
        <f t="shared" si="2"/>
        <v>OK</v>
      </c>
      <c r="T80" s="11"/>
      <c r="U80" s="11"/>
      <c r="V80" s="12"/>
    </row>
    <row r="81" spans="1:22" ht="17.25" customHeight="1">
      <c r="A81" s="13" t="s">
        <v>319</v>
      </c>
      <c r="B81" s="14">
        <v>2</v>
      </c>
      <c r="C81" s="14">
        <v>3</v>
      </c>
      <c r="D81" s="14" t="s">
        <v>327</v>
      </c>
      <c r="E81" s="17" t="s">
        <v>412</v>
      </c>
      <c r="F81" s="14" t="s">
        <v>408</v>
      </c>
      <c r="G81" s="14" t="s">
        <v>409</v>
      </c>
      <c r="H81" s="15" t="str">
        <f>IF($F81="","",IF($G81="",IFERROR(INDEX(참조_스케일목록!$B:$B,MATCH($F81,참조_스케일목록!$A:$A,0))&amp;" ("&amp;INDEX(참조_스케일목록!$C:$C,MATCH($F81,참조_스케일목록!$A:$A,0))&amp;")","※없는 ID"),"여 "&amp;IFERROR(INDEX(참조_스케일목록!$B:$B,MATCH($F81,참조_스케일목록!$A:$A,0))&amp;" ("&amp;INDEX(참조_스케일목록!$C:$C,MATCH($F81,참조_스케일목록!$A:$A,0))&amp;")","※없는 ID")&amp;" / 남 "&amp;IFERROR(INDEX(참조_스케일목록!$B:$B,MATCH($G81,참조_스케일목록!$A:$A,0))&amp;" ("&amp;INDEX(참조_스케일목록!$C:$C,MATCH($G81,참조_스케일목록!$A:$A,0))&amp;")","※없는 ID")))</f>
        <v>여 9도 스케일 (흉성~높은두성) / 남 9도 스케일 (흉성~휘슬)</v>
      </c>
      <c r="I81" s="14">
        <v>1</v>
      </c>
      <c r="J81" s="14">
        <v>7</v>
      </c>
      <c r="K81" s="14" t="s">
        <v>427</v>
      </c>
      <c r="L81" s="14"/>
      <c r="M81" s="14"/>
      <c r="N81" s="14"/>
      <c r="O81" s="14"/>
      <c r="P81" s="16" t="s">
        <v>89</v>
      </c>
      <c r="Q81" s="13"/>
      <c r="R81" s="18" t="str">
        <f t="shared" si="2"/>
        <v>OK</v>
      </c>
      <c r="T81" s="11"/>
      <c r="U81" s="11"/>
      <c r="V81" s="12"/>
    </row>
    <row r="82" spans="1:22" ht="17.25" customHeight="1">
      <c r="A82" s="13" t="s">
        <v>319</v>
      </c>
      <c r="B82" s="14">
        <v>2</v>
      </c>
      <c r="C82" s="14">
        <v>4</v>
      </c>
      <c r="D82" s="14" t="s">
        <v>328</v>
      </c>
      <c r="E82" s="21" t="s">
        <v>420</v>
      </c>
      <c r="F82" s="14"/>
      <c r="G82" s="14"/>
      <c r="H82" s="15" t="str">
        <f>IF($F82="","",IF($G82="",IFERROR(INDEX(참조_스케일목록!$B:$B,MATCH($F82,참조_스케일목록!$A:$A,0))&amp;" ("&amp;INDEX(참조_스케일목록!$C:$C,MATCH($F82,참조_스케일목록!$A:$A,0))&amp;")","※없는 ID"),"여 "&amp;IFERROR(INDEX(참조_스케일목록!$B:$B,MATCH($F82,참조_스케일목록!$A:$A,0))&amp;" ("&amp;INDEX(참조_스케일목록!$C:$C,MATCH($F82,참조_스케일목록!$A:$A,0))&amp;")","※없는 ID")&amp;" / 남 "&amp;IFERROR(INDEX(참조_스케일목록!$B:$B,MATCH($G82,참조_스케일목록!$A:$A,0))&amp;" ("&amp;INDEX(참조_스케일목록!$C:$C,MATCH($G82,참조_스케일목록!$A:$A,0))&amp;")","※없는 ID")))</f>
        <v/>
      </c>
      <c r="I82" s="14">
        <v>1</v>
      </c>
      <c r="J82" s="14">
        <v>7</v>
      </c>
      <c r="K82" s="14"/>
      <c r="L82" s="14"/>
      <c r="M82" s="14"/>
      <c r="N82" s="14"/>
      <c r="O82" s="14"/>
      <c r="P82" s="16" t="s">
        <v>89</v>
      </c>
      <c r="Q82" s="13"/>
      <c r="R82" s="18" t="str">
        <f t="shared" si="2"/>
        <v>OK</v>
      </c>
      <c r="T82" s="11"/>
      <c r="U82" s="11"/>
      <c r="V82" s="12"/>
    </row>
    <row r="83" spans="1:22" ht="17.25" customHeight="1">
      <c r="A83" s="13" t="s">
        <v>319</v>
      </c>
      <c r="B83" s="14">
        <v>2</v>
      </c>
      <c r="C83" s="14">
        <v>5</v>
      </c>
      <c r="D83" s="14" t="s">
        <v>329</v>
      </c>
      <c r="E83" s="21"/>
      <c r="F83" s="14"/>
      <c r="G83" s="14"/>
      <c r="H83" s="15"/>
      <c r="I83" s="14"/>
      <c r="J83" s="14"/>
      <c r="K83" s="14"/>
      <c r="L83" s="14"/>
      <c r="M83" s="14"/>
      <c r="N83" s="14"/>
      <c r="O83" s="14"/>
      <c r="P83" s="16" t="s">
        <v>89</v>
      </c>
      <c r="Q83" s="13"/>
      <c r="R83" s="18" t="str">
        <f t="shared" si="2"/>
        <v>OK</v>
      </c>
      <c r="T83" s="11"/>
      <c r="U83" s="11"/>
      <c r="V83" s="12"/>
    </row>
    <row r="84" spans="1:22" ht="17.25" customHeight="1">
      <c r="A84" s="13" t="s">
        <v>319</v>
      </c>
      <c r="B84" s="14">
        <v>3</v>
      </c>
      <c r="C84" s="14">
        <v>1</v>
      </c>
      <c r="D84" s="14" t="s">
        <v>330</v>
      </c>
      <c r="E84" s="19"/>
      <c r="F84" s="14"/>
      <c r="G84" s="14"/>
      <c r="H84" s="15"/>
      <c r="I84" s="14"/>
      <c r="J84" s="14"/>
      <c r="K84" s="14"/>
      <c r="L84" s="14"/>
      <c r="M84" s="14"/>
      <c r="N84" s="14"/>
      <c r="O84" s="14"/>
      <c r="P84" s="16" t="s">
        <v>119</v>
      </c>
      <c r="Q84" s="13"/>
      <c r="R84" s="18" t="str">
        <f t="shared" si="2"/>
        <v>OK</v>
      </c>
      <c r="T84" s="11"/>
      <c r="U84" s="11"/>
      <c r="V84" s="12"/>
    </row>
    <row r="85" spans="1:22" ht="17.25" customHeight="1">
      <c r="A85" s="13" t="s">
        <v>319</v>
      </c>
      <c r="B85" s="14">
        <v>3</v>
      </c>
      <c r="C85" s="14">
        <v>2</v>
      </c>
      <c r="D85" s="14" t="s">
        <v>331</v>
      </c>
      <c r="E85" s="19" t="s">
        <v>290</v>
      </c>
      <c r="F85" s="14" t="s">
        <v>159</v>
      </c>
      <c r="G85" s="14" t="s">
        <v>164</v>
      </c>
      <c r="H85" s="15" t="str">
        <f>IF($F85="","",IF($G85="",IFERROR(INDEX(참조_스케일목록!$B:$B,MATCH($F85,참조_스케일목록!$A:$A,0))&amp;" ("&amp;INDEX(참조_스케일목록!$C:$C,MATCH($F85,참조_스케일목록!$A:$A,0))&amp;")","※없는 ID"),"여 "&amp;IFERROR(INDEX(참조_스케일목록!$B:$B,MATCH($F85,참조_스케일목록!$A:$A,0))&amp;" ("&amp;INDEX(참조_스케일목록!$C:$C,MATCH($F85,참조_스케일목록!$A:$A,0))&amp;")","※없는 ID")&amp;" / 남 "&amp;IFERROR(INDEX(참조_스케일목록!$B:$B,MATCH($G85,참조_스케일목록!$A:$A,0))&amp;" ("&amp;INDEX(참조_스케일목록!$C:$C,MATCH($G85,참조_스케일목록!$A:$A,0))&amp;")","※없는 ID")))</f>
        <v>여 5도 스케일 (중성~높은두성) / 남 5도 스케일 (중성~휘슬)</v>
      </c>
      <c r="I85" s="14">
        <v>1</v>
      </c>
      <c r="J85" s="14">
        <v>7</v>
      </c>
      <c r="K85" s="14"/>
      <c r="L85" s="14"/>
      <c r="M85" s="14"/>
      <c r="N85" s="14"/>
      <c r="O85" s="14"/>
      <c r="P85" s="16" t="s">
        <v>119</v>
      </c>
      <c r="Q85" s="13"/>
      <c r="R85" s="18" t="str">
        <f t="shared" si="2"/>
        <v>OK</v>
      </c>
      <c r="T85" s="11"/>
      <c r="U85" s="11"/>
      <c r="V85" s="12"/>
    </row>
    <row r="86" spans="1:22" ht="17.25" customHeight="1">
      <c r="A86" s="13" t="s">
        <v>319</v>
      </c>
      <c r="B86" s="14">
        <v>3</v>
      </c>
      <c r="C86" s="14">
        <v>3</v>
      </c>
      <c r="D86" s="14" t="s">
        <v>332</v>
      </c>
      <c r="E86" s="19" t="s">
        <v>270</v>
      </c>
      <c r="F86" s="14" t="s">
        <v>410</v>
      </c>
      <c r="G86" s="14" t="s">
        <v>411</v>
      </c>
      <c r="H86" s="15" t="str">
        <f>IF($F86="","",IF($G86="",IFERROR(INDEX(참조_스케일목록!$B:$B,MATCH($F86,참조_스케일목록!$A:$A,0))&amp;" ("&amp;INDEX(참조_스케일목록!$C:$C,MATCH($F86,참조_스케일목록!$A:$A,0))&amp;")","※없는 ID"),"여 "&amp;IFERROR(INDEX(참조_스케일목록!$B:$B,MATCH($F86,참조_스케일목록!$A:$A,0))&amp;" ("&amp;INDEX(참조_스케일목록!$C:$C,MATCH($F86,참조_스케일목록!$A:$A,0))&amp;")","※없는 ID")&amp;" / 남 "&amp;IFERROR(INDEX(참조_스케일목록!$B:$B,MATCH($G86,참조_스케일목록!$A:$A,0))&amp;" ("&amp;INDEX(참조_스케일목록!$C:$C,MATCH($G86,참조_스케일목록!$A:$A,0))&amp;")","※없는 ID")))</f>
        <v>여 9도 쉬고 내려오기 (흉성~높은두성) / 남 9도 쉬고 내려오기 (흉성~휘슬)</v>
      </c>
      <c r="I86" s="14">
        <v>1</v>
      </c>
      <c r="J86" s="14">
        <v>7</v>
      </c>
      <c r="K86" s="14"/>
      <c r="L86" s="14"/>
      <c r="M86" s="14"/>
      <c r="N86" s="14"/>
      <c r="O86" s="14"/>
      <c r="P86" s="16" t="s">
        <v>119</v>
      </c>
      <c r="Q86" s="13"/>
      <c r="R86" s="18" t="str">
        <f t="shared" si="2"/>
        <v>OK</v>
      </c>
      <c r="T86" s="11"/>
      <c r="U86" s="11"/>
      <c r="V86" s="12"/>
    </row>
    <row r="87" spans="1:22" ht="17.25" customHeight="1">
      <c r="A87" s="13" t="s">
        <v>319</v>
      </c>
      <c r="B87" s="14">
        <v>3</v>
      </c>
      <c r="C87" s="14">
        <v>4</v>
      </c>
      <c r="D87" s="14" t="s">
        <v>333</v>
      </c>
      <c r="E87" s="13" t="s">
        <v>443</v>
      </c>
      <c r="F87" s="14"/>
      <c r="G87" s="14"/>
      <c r="H87" s="15" t="str">
        <f>IF($F87="","",IF($G87="",IFERROR(INDEX(참조_스케일목록!$B:$B,MATCH($F87,참조_스케일목록!$A:$A,0))&amp;" ("&amp;INDEX(참조_스케일목록!$C:$C,MATCH($F87,참조_스케일목록!$A:$A,0))&amp;")","※없는 ID"),"여 "&amp;IFERROR(INDEX(참조_스케일목록!$B:$B,MATCH($F87,참조_스케일목록!$A:$A,0))&amp;" ("&amp;INDEX(참조_스케일목록!$C:$C,MATCH($F87,참조_스케일목록!$A:$A,0))&amp;")","※없는 ID")&amp;" / 남 "&amp;IFERROR(INDEX(참조_스케일목록!$B:$B,MATCH($G87,참조_스케일목록!$A:$A,0))&amp;" ("&amp;INDEX(참조_스케일목록!$C:$C,MATCH($G87,참조_스케일목록!$A:$A,0))&amp;")","※없는 ID")))</f>
        <v/>
      </c>
      <c r="I87" s="14">
        <v>1</v>
      </c>
      <c r="J87" s="14">
        <v>7</v>
      </c>
      <c r="K87" s="14"/>
      <c r="L87" s="14"/>
      <c r="M87" s="14"/>
      <c r="N87" s="14"/>
      <c r="O87" s="14"/>
      <c r="P87" s="16" t="s">
        <v>119</v>
      </c>
      <c r="Q87" s="13"/>
      <c r="R87" s="18" t="str">
        <f t="shared" si="2"/>
        <v>OK</v>
      </c>
      <c r="T87" s="11"/>
      <c r="U87" s="11"/>
      <c r="V87" s="12"/>
    </row>
    <row r="88" spans="1:22" ht="17.25" customHeight="1">
      <c r="A88" s="13" t="s">
        <v>319</v>
      </c>
      <c r="B88" s="14">
        <v>3</v>
      </c>
      <c r="C88" s="14">
        <v>5</v>
      </c>
      <c r="D88" s="14" t="s">
        <v>414</v>
      </c>
      <c r="E88" s="21"/>
      <c r="F88" s="14"/>
      <c r="G88" s="14"/>
      <c r="H88" s="15"/>
      <c r="I88" s="14"/>
      <c r="J88" s="14"/>
      <c r="K88" s="14"/>
      <c r="L88" s="14"/>
      <c r="M88" s="14"/>
      <c r="N88" s="14"/>
      <c r="O88" s="14"/>
      <c r="P88" s="16" t="s">
        <v>119</v>
      </c>
      <c r="Q88" s="13"/>
      <c r="R88" s="18" t="str">
        <f t="shared" si="2"/>
        <v>OK</v>
      </c>
      <c r="T88" s="11"/>
      <c r="U88" s="11"/>
      <c r="V88" s="12"/>
    </row>
    <row r="89" spans="1:22" ht="17.25" customHeight="1">
      <c r="A89" s="13" t="s">
        <v>319</v>
      </c>
      <c r="B89" s="14">
        <v>4</v>
      </c>
      <c r="C89" s="14">
        <v>1</v>
      </c>
      <c r="D89" s="14" t="s">
        <v>415</v>
      </c>
      <c r="E89" s="13"/>
      <c r="F89" s="14"/>
      <c r="G89" s="14"/>
      <c r="H89" s="15" t="str">
        <f>IF($F89="","",IF($G89="",IFERROR(INDEX(참조_스케일목록!$B:$B,MATCH($F89,참조_스케일목록!$A:$A,0))&amp;" ("&amp;INDEX(참조_스케일목록!$C:$C,MATCH($F89,참조_스케일목록!$A:$A,0))&amp;")","※없는 ID"),"여 "&amp;IFERROR(INDEX(참조_스케일목록!$B:$B,MATCH($F89,참조_스케일목록!$A:$A,0))&amp;" ("&amp;INDEX(참조_스케일목록!$C:$C,MATCH($F89,참조_스케일목록!$A:$A,0))&amp;")","※없는 ID")&amp;" / 남 "&amp;IFERROR(INDEX(참조_스케일목록!$B:$B,MATCH($G89,참조_스케일목록!$A:$A,0))&amp;" ("&amp;INDEX(참조_스케일목록!$C:$C,MATCH($G89,참조_스케일목록!$A:$A,0))&amp;")","※없는 ID")))</f>
        <v/>
      </c>
      <c r="I89" s="14"/>
      <c r="J89" s="14"/>
      <c r="K89" s="14"/>
      <c r="L89" s="14"/>
      <c r="M89" s="14"/>
      <c r="N89" s="14"/>
      <c r="O89" s="14"/>
      <c r="P89" s="16" t="s">
        <v>119</v>
      </c>
      <c r="Q89" s="13"/>
      <c r="R89" s="18" t="str">
        <f t="shared" si="2"/>
        <v>OK</v>
      </c>
      <c r="T89" s="11"/>
      <c r="U89" s="12"/>
      <c r="V89" s="12"/>
    </row>
    <row r="90" spans="1:22" ht="17.25" customHeight="1">
      <c r="A90" s="13" t="s">
        <v>319</v>
      </c>
      <c r="B90" s="14">
        <v>4</v>
      </c>
      <c r="C90" s="14">
        <v>2</v>
      </c>
      <c r="D90" s="14" t="s">
        <v>419</v>
      </c>
      <c r="E90" s="13"/>
      <c r="F90" s="14"/>
      <c r="G90" s="14"/>
      <c r="H90" s="15" t="str">
        <f>IF($F90="","",IF($G90="",IFERROR(INDEX(참조_스케일목록!$B:$B,MATCH($F90,참조_스케일목록!$A:$A,0))&amp;" ("&amp;INDEX(참조_스케일목록!$C:$C,MATCH($F90,참조_스케일목록!$A:$A,0))&amp;")","※없는 ID"),"여 "&amp;IFERROR(INDEX(참조_스케일목록!$B:$B,MATCH($F90,참조_스케일목록!$A:$A,0))&amp;" ("&amp;INDEX(참조_스케일목록!$C:$C,MATCH($F90,참조_스케일목록!$A:$A,0))&amp;")","※없는 ID")&amp;" / 남 "&amp;IFERROR(INDEX(참조_스케일목록!$B:$B,MATCH($G90,참조_스케일목록!$A:$A,0))&amp;" ("&amp;INDEX(참조_스케일목록!$C:$C,MATCH($G90,참조_스케일목록!$A:$A,0))&amp;")","※없는 ID")))</f>
        <v/>
      </c>
      <c r="I90" s="14"/>
      <c r="J90" s="14"/>
      <c r="K90" s="14"/>
      <c r="L90" s="14"/>
      <c r="M90" s="14"/>
      <c r="N90" s="14"/>
      <c r="O90" s="14"/>
      <c r="P90" s="16" t="s">
        <v>119</v>
      </c>
      <c r="Q90" s="13"/>
      <c r="R90" s="18" t="str">
        <f t="shared" si="2"/>
        <v>OK</v>
      </c>
      <c r="T90" s="11"/>
      <c r="U90" s="12"/>
      <c r="V90" s="12"/>
    </row>
    <row r="91" spans="1:22" ht="17.25" customHeight="1">
      <c r="A91" s="13" t="s">
        <v>319</v>
      </c>
      <c r="B91" s="14">
        <v>4</v>
      </c>
      <c r="C91" s="14">
        <v>3</v>
      </c>
      <c r="D91" s="14" t="s">
        <v>416</v>
      </c>
      <c r="E91" s="13"/>
      <c r="F91" s="14"/>
      <c r="G91" s="14"/>
      <c r="H91" s="15" t="str">
        <f>IF($F91="","",IF($G91="",IFERROR(INDEX(참조_스케일목록!$B:$B,MATCH($F91,참조_스케일목록!$A:$A,0))&amp;" ("&amp;INDEX(참조_스케일목록!$C:$C,MATCH($F91,참조_스케일목록!$A:$A,0))&amp;")","※없는 ID"),"여 "&amp;IFERROR(INDEX(참조_스케일목록!$B:$B,MATCH($F91,참조_스케일목록!$A:$A,0))&amp;" ("&amp;INDEX(참조_스케일목록!$C:$C,MATCH($F91,참조_스케일목록!$A:$A,0))&amp;")","※없는 ID")&amp;" / 남 "&amp;IFERROR(INDEX(참조_스케일목록!$B:$B,MATCH($G91,참조_스케일목록!$A:$A,0))&amp;" ("&amp;INDEX(참조_스케일목록!$C:$C,MATCH($G91,참조_스케일목록!$A:$A,0))&amp;")","※없는 ID")))</f>
        <v/>
      </c>
      <c r="I91" s="14"/>
      <c r="J91" s="14"/>
      <c r="K91" s="14"/>
      <c r="L91" s="14"/>
      <c r="M91" s="14"/>
      <c r="N91" s="14"/>
      <c r="O91" s="14"/>
      <c r="P91" s="16" t="s">
        <v>119</v>
      </c>
      <c r="Q91" s="13"/>
      <c r="R91" s="18" t="str">
        <f t="shared" si="2"/>
        <v>OK</v>
      </c>
      <c r="T91" s="11"/>
      <c r="U91" s="12"/>
      <c r="V91" s="12"/>
    </row>
    <row r="92" spans="1:22" ht="17.25" customHeight="1">
      <c r="A92" s="13" t="s">
        <v>319</v>
      </c>
      <c r="B92" s="14">
        <v>4</v>
      </c>
      <c r="C92" s="14">
        <v>4</v>
      </c>
      <c r="D92" s="14" t="s">
        <v>417</v>
      </c>
      <c r="E92" s="13" t="s">
        <v>426</v>
      </c>
      <c r="F92" s="14"/>
      <c r="G92" s="14"/>
      <c r="H92" s="15" t="str">
        <f>IF($F92="","",IF($G92="",IFERROR(INDEX(참조_스케일목록!$B:$B,MATCH($F92,참조_스케일목록!$A:$A,0))&amp;" ("&amp;INDEX(참조_스케일목록!$C:$C,MATCH($F92,참조_스케일목록!$A:$A,0))&amp;")","※없는 ID"),"여 "&amp;IFERROR(INDEX(참조_스케일목록!$B:$B,MATCH($F92,참조_스케일목록!$A:$A,0))&amp;" ("&amp;INDEX(참조_스케일목록!$C:$C,MATCH($F92,참조_스케일목록!$A:$A,0))&amp;")","※없는 ID")&amp;" / 남 "&amp;IFERROR(INDEX(참조_스케일목록!$B:$B,MATCH($G92,참조_스케일목록!$A:$A,0))&amp;" ("&amp;INDEX(참조_스케일목록!$C:$C,MATCH($G92,참조_스케일목록!$A:$A,0))&amp;")","※없는 ID")))</f>
        <v/>
      </c>
      <c r="I92" s="14">
        <v>1</v>
      </c>
      <c r="J92" s="14">
        <v>7</v>
      </c>
      <c r="K92" s="14"/>
      <c r="L92" s="14"/>
      <c r="M92" s="14"/>
      <c r="N92" s="14"/>
      <c r="O92" s="14"/>
      <c r="P92" s="16" t="s">
        <v>119</v>
      </c>
      <c r="Q92" s="13"/>
      <c r="R92" s="18" t="str">
        <f t="shared" si="2"/>
        <v>OK</v>
      </c>
      <c r="T92" s="11"/>
      <c r="U92" s="12"/>
      <c r="V92" s="12"/>
    </row>
    <row r="93" spans="1:22" ht="17.25" customHeight="1">
      <c r="A93" s="13" t="s">
        <v>319</v>
      </c>
      <c r="B93" s="14">
        <v>4</v>
      </c>
      <c r="C93" s="14">
        <v>5</v>
      </c>
      <c r="D93" s="14" t="s">
        <v>418</v>
      </c>
      <c r="E93" s="13"/>
      <c r="F93" s="14"/>
      <c r="G93" s="14"/>
      <c r="H93" s="15" t="str">
        <f>IF($F93="","",IF($G93="",IFERROR(INDEX(참조_스케일목록!$B:$B,MATCH($F93,참조_스케일목록!$A:$A,0))&amp;" ("&amp;INDEX(참조_스케일목록!$C:$C,MATCH($F93,참조_스케일목록!$A:$A,0))&amp;")","※없는 ID"),"여 "&amp;IFERROR(INDEX(참조_스케일목록!$B:$B,MATCH($F93,참조_스케일목록!$A:$A,0))&amp;" ("&amp;INDEX(참조_스케일목록!$C:$C,MATCH($F93,참조_스케일목록!$A:$A,0))&amp;")","※없는 ID")&amp;" / 남 "&amp;IFERROR(INDEX(참조_스케일목록!$B:$B,MATCH($G93,참조_스케일목록!$A:$A,0))&amp;" ("&amp;INDEX(참조_스케일목록!$C:$C,MATCH($G93,참조_스케일목록!$A:$A,0))&amp;")","※없는 ID")))</f>
        <v/>
      </c>
      <c r="I93" s="14"/>
      <c r="J93" s="14"/>
      <c r="K93" s="14"/>
      <c r="L93" s="14"/>
      <c r="M93" s="14"/>
      <c r="N93" s="14"/>
      <c r="O93" s="14"/>
      <c r="P93" s="16" t="s">
        <v>119</v>
      </c>
      <c r="Q93" s="13"/>
      <c r="R93" s="18" t="str">
        <f t="shared" si="2"/>
        <v>OK</v>
      </c>
    </row>
    <row r="94" spans="1:22" ht="17.25" customHeight="1">
      <c r="A94" s="13" t="s">
        <v>319</v>
      </c>
      <c r="B94" s="14">
        <v>5</v>
      </c>
      <c r="C94" s="14">
        <v>1</v>
      </c>
      <c r="D94" s="14" t="s">
        <v>421</v>
      </c>
      <c r="E94" s="13"/>
      <c r="F94" s="14"/>
      <c r="G94" s="14"/>
      <c r="H94" s="15" t="str">
        <f>IF($F94="","",IF($G94="",IFERROR(INDEX(참조_스케일목록!$B:$B,MATCH($F94,참조_스케일목록!$A:$A,0))&amp;" ("&amp;INDEX(참조_스케일목록!$C:$C,MATCH($F94,참조_스케일목록!$A:$A,0))&amp;")","※없는 ID"),"여 "&amp;IFERROR(INDEX(참조_스케일목록!$B:$B,MATCH($F94,참조_스케일목록!$A:$A,0))&amp;" ("&amp;INDEX(참조_스케일목록!$C:$C,MATCH($F94,참조_스케일목록!$A:$A,0))&amp;")","※없는 ID")&amp;" / 남 "&amp;IFERROR(INDEX(참조_스케일목록!$B:$B,MATCH($G94,참조_스케일목록!$A:$A,0))&amp;" ("&amp;INDEX(참조_스케일목록!$C:$C,MATCH($G94,참조_스케일목록!$A:$A,0))&amp;")","※없는 ID")))</f>
        <v/>
      </c>
      <c r="I94" s="14"/>
      <c r="J94" s="14"/>
      <c r="K94" s="14"/>
      <c r="L94" s="14"/>
      <c r="M94" s="14"/>
      <c r="N94" s="14"/>
      <c r="O94" s="14"/>
      <c r="P94" s="16" t="s">
        <v>119</v>
      </c>
      <c r="Q94" s="13"/>
      <c r="R94" s="18" t="str">
        <f t="shared" si="2"/>
        <v>OK</v>
      </c>
    </row>
    <row r="95" spans="1:22" ht="17.25" customHeight="1">
      <c r="A95" s="13" t="s">
        <v>319</v>
      </c>
      <c r="B95" s="14">
        <v>5</v>
      </c>
      <c r="C95" s="14">
        <v>2</v>
      </c>
      <c r="D95" s="14" t="s">
        <v>425</v>
      </c>
      <c r="E95" s="13"/>
      <c r="F95" s="14"/>
      <c r="G95" s="14"/>
      <c r="H95" s="15" t="str">
        <f>IF($F95="","",IF($G95="",IFERROR(INDEX(참조_스케일목록!$B:$B,MATCH($F95,참조_스케일목록!$A:$A,0))&amp;" ("&amp;INDEX(참조_스케일목록!$C:$C,MATCH($F95,참조_스케일목록!$A:$A,0))&amp;")","※없는 ID"),"여 "&amp;IFERROR(INDEX(참조_스케일목록!$B:$B,MATCH($F95,참조_스케일목록!$A:$A,0))&amp;" ("&amp;INDEX(참조_스케일목록!$C:$C,MATCH($F95,참조_스케일목록!$A:$A,0))&amp;")","※없는 ID")&amp;" / 남 "&amp;IFERROR(INDEX(참조_스케일목록!$B:$B,MATCH($G95,참조_스케일목록!$A:$A,0))&amp;" ("&amp;INDEX(참조_스케일목록!$C:$C,MATCH($G95,참조_스케일목록!$A:$A,0))&amp;")","※없는 ID")))</f>
        <v/>
      </c>
      <c r="I95" s="14"/>
      <c r="J95" s="14"/>
      <c r="K95" s="14"/>
      <c r="L95" s="14"/>
      <c r="M95" s="14"/>
      <c r="N95" s="14"/>
      <c r="O95" s="14"/>
      <c r="P95" s="16" t="s">
        <v>119</v>
      </c>
      <c r="Q95" s="13"/>
      <c r="R95" s="18" t="str">
        <f t="shared" si="2"/>
        <v>OK</v>
      </c>
    </row>
    <row r="96" spans="1:22" ht="17.25" customHeight="1">
      <c r="A96" s="13" t="s">
        <v>319</v>
      </c>
      <c r="B96" s="14">
        <v>5</v>
      </c>
      <c r="C96" s="14">
        <v>3</v>
      </c>
      <c r="D96" s="14" t="s">
        <v>422</v>
      </c>
      <c r="E96" s="13"/>
      <c r="F96" s="14"/>
      <c r="G96" s="14"/>
      <c r="H96" s="15" t="str">
        <f>IF($F96="","",IF($G96="",IFERROR(INDEX(참조_스케일목록!$B:$B,MATCH($F96,참조_스케일목록!$A:$A,0))&amp;" ("&amp;INDEX(참조_스케일목록!$C:$C,MATCH($F96,참조_스케일목록!$A:$A,0))&amp;")","※없는 ID"),"여 "&amp;IFERROR(INDEX(참조_스케일목록!$B:$B,MATCH($F96,참조_스케일목록!$A:$A,0))&amp;" ("&amp;INDEX(참조_스케일목록!$C:$C,MATCH($F96,참조_스케일목록!$A:$A,0))&amp;")","※없는 ID")&amp;" / 남 "&amp;IFERROR(INDEX(참조_스케일목록!$B:$B,MATCH($G96,참조_스케일목록!$A:$A,0))&amp;" ("&amp;INDEX(참조_스케일목록!$C:$C,MATCH($G96,참조_스케일목록!$A:$A,0))&amp;")","※없는 ID")))</f>
        <v/>
      </c>
      <c r="I96" s="14"/>
      <c r="J96" s="14"/>
      <c r="K96" s="14"/>
      <c r="L96" s="14"/>
      <c r="M96" s="14"/>
      <c r="N96" s="14"/>
      <c r="O96" s="14"/>
      <c r="P96" s="16" t="s">
        <v>119</v>
      </c>
      <c r="Q96" s="13"/>
      <c r="R96" s="18" t="str">
        <f t="shared" si="2"/>
        <v>OK</v>
      </c>
    </row>
    <row r="97" spans="1:18" ht="17.25" customHeight="1">
      <c r="A97" s="13" t="s">
        <v>319</v>
      </c>
      <c r="B97" s="14">
        <v>5</v>
      </c>
      <c r="C97" s="14">
        <v>4</v>
      </c>
      <c r="D97" s="14" t="s">
        <v>423</v>
      </c>
      <c r="E97" s="13"/>
      <c r="F97" s="14"/>
      <c r="G97" s="14"/>
      <c r="H97" s="15" t="str">
        <f>IF($F97="","",IF($G97="",IFERROR(INDEX(참조_스케일목록!$B:$B,MATCH($F97,참조_스케일목록!$A:$A,0))&amp;" ("&amp;INDEX(참조_스케일목록!$C:$C,MATCH($F97,참조_스케일목록!$A:$A,0))&amp;")","※없는 ID"),"여 "&amp;IFERROR(INDEX(참조_스케일목록!$B:$B,MATCH($F97,참조_스케일목록!$A:$A,0))&amp;" ("&amp;INDEX(참조_스케일목록!$C:$C,MATCH($F97,참조_스케일목록!$A:$A,0))&amp;")","※없는 ID")&amp;" / 남 "&amp;IFERROR(INDEX(참조_스케일목록!$B:$B,MATCH($G97,참조_스케일목록!$A:$A,0))&amp;" ("&amp;INDEX(참조_스케일목록!$C:$C,MATCH($G97,참조_스케일목록!$A:$A,0))&amp;")","※없는 ID")))</f>
        <v/>
      </c>
      <c r="I97" s="14"/>
      <c r="J97" s="14"/>
      <c r="K97" s="14"/>
      <c r="L97" s="14"/>
      <c r="M97" s="14"/>
      <c r="N97" s="14"/>
      <c r="O97" s="14"/>
      <c r="P97" s="16" t="s">
        <v>119</v>
      </c>
      <c r="Q97" s="13"/>
      <c r="R97" s="18" t="str">
        <f t="shared" si="2"/>
        <v>OK</v>
      </c>
    </row>
    <row r="98" spans="1:18" ht="17.25" customHeight="1">
      <c r="A98" s="13" t="s">
        <v>319</v>
      </c>
      <c r="B98" s="14">
        <v>5</v>
      </c>
      <c r="C98" s="14">
        <v>5</v>
      </c>
      <c r="D98" s="14" t="s">
        <v>424</v>
      </c>
      <c r="E98" s="13"/>
      <c r="F98" s="14"/>
      <c r="G98" s="14"/>
      <c r="H98" s="15"/>
      <c r="I98" s="14"/>
      <c r="J98" s="14"/>
      <c r="K98" s="14"/>
      <c r="L98" s="14"/>
      <c r="M98" s="14"/>
      <c r="N98" s="14"/>
      <c r="O98" s="14"/>
      <c r="P98" s="16" t="s">
        <v>119</v>
      </c>
      <c r="Q98" s="13"/>
      <c r="R98" s="18" t="str">
        <f t="shared" si="2"/>
        <v>OK</v>
      </c>
    </row>
    <row r="99" spans="1:18" ht="17.25" customHeight="1">
      <c r="A99" s="13"/>
      <c r="B99" s="14"/>
      <c r="C99" s="14"/>
      <c r="D99" s="14"/>
      <c r="E99" s="13"/>
      <c r="F99" s="14"/>
      <c r="G99" s="14"/>
      <c r="H99" s="15" t="str">
        <f>IF($F99="","",IF($G99="",IFERROR(INDEX(참조_스케일목록!$B:$B,MATCH($F99,참조_스케일목록!$A:$A,0))&amp;" ("&amp;INDEX(참조_스케일목록!$C:$C,MATCH($F99,참조_스케일목록!$A:$A,0))&amp;")","※없는 ID"),"여 "&amp;IFERROR(INDEX(참조_스케일목록!$B:$B,MATCH($F99,참조_스케일목록!$A:$A,0))&amp;" ("&amp;INDEX(참조_스케일목록!$C:$C,MATCH($F99,참조_스케일목록!$A:$A,0))&amp;")","※없는 ID")&amp;" / 남 "&amp;IFERROR(INDEX(참조_스케일목록!$B:$B,MATCH($G99,참조_스케일목록!$A:$A,0))&amp;" ("&amp;INDEX(참조_스케일목록!$C:$C,MATCH($G99,참조_스케일목록!$A:$A,0))&amp;")","※없는 ID")))</f>
        <v/>
      </c>
      <c r="I99" s="14"/>
      <c r="J99" s="14"/>
      <c r="K99" s="14"/>
      <c r="L99" s="14"/>
      <c r="M99" s="14"/>
      <c r="N99" s="14"/>
      <c r="O99" s="14"/>
      <c r="P99" s="16" t="s">
        <v>119</v>
      </c>
      <c r="Q99" s="13"/>
      <c r="R99" s="18" t="str">
        <f t="shared" ref="R99:R130" si="3">IF($A99="","",IF(AND($C99&lt;&gt;"",OR($C99&lt;1,$C99&gt;5,MOD($C99*2,1)&lt;&gt;0)),"자리는 1~5 (0.5단위)",IF(COUNTIFS($A$3:$A$170,$A99,$B$3:$B$170,$B99,$C$3:$C$170,$C99)&gt;1,"같은 자리 중복",IF($D99="","스킬ID 비었음",IF(COUNTIF($D$3:$D$170,$D99)&gt;1,"스킬ID 중복",IF(AND($G99&lt;&gt;"",$F99=""),"여 스케일도 필요",IF(AND($K99&lt;&gt;"",ISNA(MATCH($K99,$D$3:$D$170,0))),"선행스킬1 없음",IF(AND($L99&lt;&gt;"",ISNA(MATCH($L99,$D$3:$D$170,0))),"선행스킬2 없음",IF(AND($N99&lt;&gt;"",ISNA(MATCH($N99,$D$3:$D$170,0))),"타계열선행 없음","OK")))))))))</f>
        <v/>
      </c>
    </row>
    <row r="100" spans="1:18" ht="17.25" customHeight="1">
      <c r="A100" s="13"/>
      <c r="B100" s="14"/>
      <c r="C100" s="14"/>
      <c r="D100" s="14"/>
      <c r="E100" s="13"/>
      <c r="F100" s="14"/>
      <c r="G100" s="14"/>
      <c r="H100" s="15" t="str">
        <f>IF($F100="","",IF($G100="",IFERROR(INDEX(참조_스케일목록!$B:$B,MATCH($F100,참조_스케일목록!$A:$A,0))&amp;" ("&amp;INDEX(참조_스케일목록!$C:$C,MATCH($F100,참조_스케일목록!$A:$A,0))&amp;")","※없는 ID"),"여 "&amp;IFERROR(INDEX(참조_스케일목록!$B:$B,MATCH($F100,참조_스케일목록!$A:$A,0))&amp;" ("&amp;INDEX(참조_스케일목록!$C:$C,MATCH($F100,참조_스케일목록!$A:$A,0))&amp;")","※없는 ID")&amp;" / 남 "&amp;IFERROR(INDEX(참조_스케일목록!$B:$B,MATCH($G100,참조_스케일목록!$A:$A,0))&amp;" ("&amp;INDEX(참조_스케일목록!$C:$C,MATCH($G100,참조_스케일목록!$A:$A,0))&amp;")","※없는 ID")))</f>
        <v/>
      </c>
      <c r="I100" s="14"/>
      <c r="J100" s="14"/>
      <c r="K100" s="14"/>
      <c r="L100" s="14"/>
      <c r="M100" s="14"/>
      <c r="N100" s="14"/>
      <c r="O100" s="14"/>
      <c r="P100" s="16"/>
      <c r="Q100" s="13"/>
      <c r="R100" s="18" t="str">
        <f t="shared" si="3"/>
        <v/>
      </c>
    </row>
    <row r="101" spans="1:18" ht="17.25" customHeight="1">
      <c r="A101" s="13"/>
      <c r="B101" s="14"/>
      <c r="C101" s="14"/>
      <c r="D101" s="14"/>
      <c r="E101" s="13"/>
      <c r="F101" s="14"/>
      <c r="G101" s="14"/>
      <c r="H101" s="15" t="str">
        <f>IF($F101="","",IF($G101="",IFERROR(INDEX(참조_스케일목록!$B:$B,MATCH($F101,참조_스케일목록!$A:$A,0))&amp;" ("&amp;INDEX(참조_스케일목록!$C:$C,MATCH($F101,참조_스케일목록!$A:$A,0))&amp;")","※없는 ID"),"여 "&amp;IFERROR(INDEX(참조_스케일목록!$B:$B,MATCH($F101,참조_스케일목록!$A:$A,0))&amp;" ("&amp;INDEX(참조_스케일목록!$C:$C,MATCH($F101,참조_스케일목록!$A:$A,0))&amp;")","※없는 ID")&amp;" / 남 "&amp;IFERROR(INDEX(참조_스케일목록!$B:$B,MATCH($G101,참조_스케일목록!$A:$A,0))&amp;" ("&amp;INDEX(참조_스케일목록!$C:$C,MATCH($G101,참조_스케일목록!$A:$A,0))&amp;")","※없는 ID")))</f>
        <v/>
      </c>
      <c r="I101" s="14"/>
      <c r="J101" s="14"/>
      <c r="K101" s="14"/>
      <c r="L101" s="14"/>
      <c r="M101" s="14"/>
      <c r="N101" s="14"/>
      <c r="O101" s="14"/>
      <c r="P101" s="16"/>
      <c r="Q101" s="13"/>
      <c r="R101" s="18" t="str">
        <f t="shared" si="3"/>
        <v/>
      </c>
    </row>
    <row r="102" spans="1:18" ht="17.25" customHeight="1">
      <c r="A102" s="13"/>
      <c r="B102" s="14"/>
      <c r="C102" s="14"/>
      <c r="D102" s="14"/>
      <c r="E102" s="13"/>
      <c r="F102" s="14"/>
      <c r="G102" s="14"/>
      <c r="H102" s="15" t="str">
        <f>IF($F102="","",IF($G102="",IFERROR(INDEX(참조_스케일목록!$B:$B,MATCH($F102,참조_스케일목록!$A:$A,0))&amp;" ("&amp;INDEX(참조_스케일목록!$C:$C,MATCH($F102,참조_스케일목록!$A:$A,0))&amp;")","※없는 ID"),"여 "&amp;IFERROR(INDEX(참조_스케일목록!$B:$B,MATCH($F102,참조_스케일목록!$A:$A,0))&amp;" ("&amp;INDEX(참조_스케일목록!$C:$C,MATCH($F102,참조_스케일목록!$A:$A,0))&amp;")","※없는 ID")&amp;" / 남 "&amp;IFERROR(INDEX(참조_스케일목록!$B:$B,MATCH($G102,참조_스케일목록!$A:$A,0))&amp;" ("&amp;INDEX(참조_스케일목록!$C:$C,MATCH($G102,참조_스케일목록!$A:$A,0))&amp;")","※없는 ID")))</f>
        <v/>
      </c>
      <c r="I102" s="14"/>
      <c r="J102" s="14"/>
      <c r="K102" s="14"/>
      <c r="L102" s="14"/>
      <c r="M102" s="14"/>
      <c r="N102" s="14"/>
      <c r="O102" s="14"/>
      <c r="P102" s="16"/>
      <c r="Q102" s="13"/>
      <c r="R102" s="18" t="str">
        <f t="shared" si="3"/>
        <v/>
      </c>
    </row>
    <row r="103" spans="1:18" ht="17.25" customHeight="1">
      <c r="A103" s="13"/>
      <c r="B103" s="14"/>
      <c r="C103" s="14"/>
      <c r="D103" s="14"/>
      <c r="E103" s="13"/>
      <c r="F103" s="14"/>
      <c r="G103" s="14"/>
      <c r="H103" s="15" t="str">
        <f>IF($F103="","",IF($G103="",IFERROR(INDEX(참조_스케일목록!$B:$B,MATCH($F103,참조_스케일목록!$A:$A,0))&amp;" ("&amp;INDEX(참조_스케일목록!$C:$C,MATCH($F103,참조_스케일목록!$A:$A,0))&amp;")","※없는 ID"),"여 "&amp;IFERROR(INDEX(참조_스케일목록!$B:$B,MATCH($F103,참조_스케일목록!$A:$A,0))&amp;" ("&amp;INDEX(참조_스케일목록!$C:$C,MATCH($F103,참조_스케일목록!$A:$A,0))&amp;")","※없는 ID")&amp;" / 남 "&amp;IFERROR(INDEX(참조_스케일목록!$B:$B,MATCH($G103,참조_스케일목록!$A:$A,0))&amp;" ("&amp;INDEX(참조_스케일목록!$C:$C,MATCH($G103,참조_스케일목록!$A:$A,0))&amp;")","※없는 ID")))</f>
        <v/>
      </c>
      <c r="I103" s="14"/>
      <c r="J103" s="14"/>
      <c r="K103" s="14"/>
      <c r="L103" s="14"/>
      <c r="M103" s="14"/>
      <c r="N103" s="14"/>
      <c r="O103" s="14"/>
      <c r="P103" s="16"/>
      <c r="Q103" s="13"/>
      <c r="R103" s="18" t="str">
        <f t="shared" si="3"/>
        <v/>
      </c>
    </row>
    <row r="104" spans="1:18" ht="17.25" customHeight="1">
      <c r="A104" s="13"/>
      <c r="B104" s="14"/>
      <c r="C104" s="14"/>
      <c r="D104" s="14"/>
      <c r="E104" s="13"/>
      <c r="F104" s="14"/>
      <c r="G104" s="14"/>
      <c r="H104" s="15" t="str">
        <f>IF($F104="","",IF($G104="",IFERROR(INDEX(참조_스케일목록!$B:$B,MATCH($F104,참조_스케일목록!$A:$A,0))&amp;" ("&amp;INDEX(참조_스케일목록!$C:$C,MATCH($F104,참조_스케일목록!$A:$A,0))&amp;")","※없는 ID"),"여 "&amp;IFERROR(INDEX(참조_스케일목록!$B:$B,MATCH($F104,참조_스케일목록!$A:$A,0))&amp;" ("&amp;INDEX(참조_스케일목록!$C:$C,MATCH($F104,참조_스케일목록!$A:$A,0))&amp;")","※없는 ID")&amp;" / 남 "&amp;IFERROR(INDEX(참조_스케일목록!$B:$B,MATCH($G104,참조_스케일목록!$A:$A,0))&amp;" ("&amp;INDEX(참조_스케일목록!$C:$C,MATCH($G104,참조_스케일목록!$A:$A,0))&amp;")","※없는 ID")))</f>
        <v/>
      </c>
      <c r="I104" s="14"/>
      <c r="J104" s="14"/>
      <c r="K104" s="14"/>
      <c r="L104" s="14"/>
      <c r="M104" s="14"/>
      <c r="N104" s="14"/>
      <c r="O104" s="14"/>
      <c r="P104" s="16"/>
      <c r="Q104" s="13"/>
      <c r="R104" s="18" t="str">
        <f t="shared" si="3"/>
        <v/>
      </c>
    </row>
    <row r="105" spans="1:18" ht="17.25" customHeight="1">
      <c r="A105" s="13"/>
      <c r="B105" s="14"/>
      <c r="C105" s="14"/>
      <c r="D105" s="14"/>
      <c r="E105" s="13"/>
      <c r="F105" s="14"/>
      <c r="G105" s="14"/>
      <c r="H105" s="15" t="str">
        <f>IF($F105="","",IF($G105="",IFERROR(INDEX(참조_스케일목록!$B:$B,MATCH($F105,참조_스케일목록!$A:$A,0))&amp;" ("&amp;INDEX(참조_스케일목록!$C:$C,MATCH($F105,참조_스케일목록!$A:$A,0))&amp;")","※없는 ID"),"여 "&amp;IFERROR(INDEX(참조_스케일목록!$B:$B,MATCH($F105,참조_스케일목록!$A:$A,0))&amp;" ("&amp;INDEX(참조_스케일목록!$C:$C,MATCH($F105,참조_스케일목록!$A:$A,0))&amp;")","※없는 ID")&amp;" / 남 "&amp;IFERROR(INDEX(참조_스케일목록!$B:$B,MATCH($G105,참조_스케일목록!$A:$A,0))&amp;" ("&amp;INDEX(참조_스케일목록!$C:$C,MATCH($G105,참조_스케일목록!$A:$A,0))&amp;")","※없는 ID")))</f>
        <v/>
      </c>
      <c r="I105" s="14"/>
      <c r="J105" s="14"/>
      <c r="K105" s="14"/>
      <c r="L105" s="14"/>
      <c r="M105" s="14"/>
      <c r="N105" s="14"/>
      <c r="O105" s="14"/>
      <c r="P105" s="16"/>
      <c r="Q105" s="13"/>
      <c r="R105" s="18" t="str">
        <f t="shared" si="3"/>
        <v/>
      </c>
    </row>
    <row r="106" spans="1:18" ht="17.25" customHeight="1">
      <c r="A106" s="13"/>
      <c r="B106" s="14"/>
      <c r="C106" s="14"/>
      <c r="D106" s="14"/>
      <c r="E106" s="13"/>
      <c r="F106" s="14"/>
      <c r="G106" s="14"/>
      <c r="H106" s="15" t="str">
        <f>IF($F106="","",IF($G106="",IFERROR(INDEX(참조_스케일목록!$B:$B,MATCH($F106,참조_스케일목록!$A:$A,0))&amp;" ("&amp;INDEX(참조_스케일목록!$C:$C,MATCH($F106,참조_스케일목록!$A:$A,0))&amp;")","※없는 ID"),"여 "&amp;IFERROR(INDEX(참조_스케일목록!$B:$B,MATCH($F106,참조_스케일목록!$A:$A,0))&amp;" ("&amp;INDEX(참조_스케일목록!$C:$C,MATCH($F106,참조_스케일목록!$A:$A,0))&amp;")","※없는 ID")&amp;" / 남 "&amp;IFERROR(INDEX(참조_스케일목록!$B:$B,MATCH($G106,참조_스케일목록!$A:$A,0))&amp;" ("&amp;INDEX(참조_스케일목록!$C:$C,MATCH($G106,참조_스케일목록!$A:$A,0))&amp;")","※없는 ID")))</f>
        <v/>
      </c>
      <c r="I106" s="14"/>
      <c r="J106" s="14"/>
      <c r="K106" s="14"/>
      <c r="L106" s="14"/>
      <c r="M106" s="14"/>
      <c r="N106" s="14"/>
      <c r="O106" s="14"/>
      <c r="P106" s="16"/>
      <c r="Q106" s="13"/>
      <c r="R106" s="18" t="str">
        <f t="shared" si="3"/>
        <v/>
      </c>
    </row>
    <row r="107" spans="1:18" ht="17.25" customHeight="1">
      <c r="A107" s="13"/>
      <c r="B107" s="14"/>
      <c r="C107" s="14"/>
      <c r="D107" s="14"/>
      <c r="E107" s="13"/>
      <c r="F107" s="14"/>
      <c r="G107" s="14"/>
      <c r="H107" s="15" t="str">
        <f>IF($F107="","",IF($G107="",IFERROR(INDEX(참조_스케일목록!$B:$B,MATCH($F107,참조_스케일목록!$A:$A,0))&amp;" ("&amp;INDEX(참조_스케일목록!$C:$C,MATCH($F107,참조_스케일목록!$A:$A,0))&amp;")","※없는 ID"),"여 "&amp;IFERROR(INDEX(참조_스케일목록!$B:$B,MATCH($F107,참조_스케일목록!$A:$A,0))&amp;" ("&amp;INDEX(참조_스케일목록!$C:$C,MATCH($F107,참조_스케일목록!$A:$A,0))&amp;")","※없는 ID")&amp;" / 남 "&amp;IFERROR(INDEX(참조_스케일목록!$B:$B,MATCH($G107,참조_스케일목록!$A:$A,0))&amp;" ("&amp;INDEX(참조_스케일목록!$C:$C,MATCH($G107,참조_스케일목록!$A:$A,0))&amp;")","※없는 ID")))</f>
        <v/>
      </c>
      <c r="I107" s="14"/>
      <c r="J107" s="14"/>
      <c r="K107" s="14"/>
      <c r="L107" s="14"/>
      <c r="M107" s="14"/>
      <c r="N107" s="14"/>
      <c r="O107" s="14"/>
      <c r="P107" s="16"/>
      <c r="Q107" s="13"/>
      <c r="R107" s="18" t="str">
        <f t="shared" si="3"/>
        <v/>
      </c>
    </row>
    <row r="108" spans="1:18" ht="17.25" customHeight="1">
      <c r="A108" s="13"/>
      <c r="B108" s="14"/>
      <c r="C108" s="14"/>
      <c r="D108" s="14"/>
      <c r="E108" s="13"/>
      <c r="F108" s="14"/>
      <c r="G108" s="14"/>
      <c r="H108" s="15" t="str">
        <f>IF($F108="","",IF($G108="",IFERROR(INDEX(참조_스케일목록!$B:$B,MATCH($F108,참조_스케일목록!$A:$A,0))&amp;" ("&amp;INDEX(참조_스케일목록!$C:$C,MATCH($F108,참조_스케일목록!$A:$A,0))&amp;")","※없는 ID"),"여 "&amp;IFERROR(INDEX(참조_스케일목록!$B:$B,MATCH($F108,참조_스케일목록!$A:$A,0))&amp;" ("&amp;INDEX(참조_스케일목록!$C:$C,MATCH($F108,참조_스케일목록!$A:$A,0))&amp;")","※없는 ID")&amp;" / 남 "&amp;IFERROR(INDEX(참조_스케일목록!$B:$B,MATCH($G108,참조_스케일목록!$A:$A,0))&amp;" ("&amp;INDEX(참조_스케일목록!$C:$C,MATCH($G108,참조_스케일목록!$A:$A,0))&amp;")","※없는 ID")))</f>
        <v/>
      </c>
      <c r="I108" s="14"/>
      <c r="J108" s="14"/>
      <c r="K108" s="14"/>
      <c r="L108" s="14"/>
      <c r="M108" s="14"/>
      <c r="N108" s="14"/>
      <c r="O108" s="14"/>
      <c r="P108" s="16"/>
      <c r="Q108" s="13"/>
      <c r="R108" s="18" t="str">
        <f t="shared" si="3"/>
        <v/>
      </c>
    </row>
    <row r="109" spans="1:18" ht="17.25" customHeight="1">
      <c r="A109" s="13"/>
      <c r="B109" s="14"/>
      <c r="C109" s="14"/>
      <c r="D109" s="14"/>
      <c r="E109" s="13"/>
      <c r="F109" s="14"/>
      <c r="G109" s="14"/>
      <c r="H109" s="15" t="str">
        <f>IF($F109="","",IF($G109="",IFERROR(INDEX(참조_스케일목록!$B:$B,MATCH($F109,참조_스케일목록!$A:$A,0))&amp;" ("&amp;INDEX(참조_스케일목록!$C:$C,MATCH($F109,참조_스케일목록!$A:$A,0))&amp;")","※없는 ID"),"여 "&amp;IFERROR(INDEX(참조_스케일목록!$B:$B,MATCH($F109,참조_스케일목록!$A:$A,0))&amp;" ("&amp;INDEX(참조_스케일목록!$C:$C,MATCH($F109,참조_스케일목록!$A:$A,0))&amp;")","※없는 ID")&amp;" / 남 "&amp;IFERROR(INDEX(참조_스케일목록!$B:$B,MATCH($G109,참조_스케일목록!$A:$A,0))&amp;" ("&amp;INDEX(참조_스케일목록!$C:$C,MATCH($G109,참조_스케일목록!$A:$A,0))&amp;")","※없는 ID")))</f>
        <v/>
      </c>
      <c r="I109" s="14"/>
      <c r="J109" s="14"/>
      <c r="K109" s="14"/>
      <c r="L109" s="14"/>
      <c r="M109" s="14"/>
      <c r="N109" s="14"/>
      <c r="O109" s="14"/>
      <c r="P109" s="16"/>
      <c r="Q109" s="13"/>
      <c r="R109" s="18" t="str">
        <f t="shared" si="3"/>
        <v/>
      </c>
    </row>
    <row r="110" spans="1:18" ht="17.25" customHeight="1">
      <c r="A110" s="13"/>
      <c r="B110" s="14"/>
      <c r="C110" s="14"/>
      <c r="D110" s="14"/>
      <c r="E110" s="13"/>
      <c r="F110" s="14"/>
      <c r="G110" s="14"/>
      <c r="H110" s="15" t="str">
        <f>IF($F110="","",IF($G110="",IFERROR(INDEX(참조_스케일목록!$B:$B,MATCH($F110,참조_스케일목록!$A:$A,0))&amp;" ("&amp;INDEX(참조_스케일목록!$C:$C,MATCH($F110,참조_스케일목록!$A:$A,0))&amp;")","※없는 ID"),"여 "&amp;IFERROR(INDEX(참조_스케일목록!$B:$B,MATCH($F110,참조_스케일목록!$A:$A,0))&amp;" ("&amp;INDEX(참조_스케일목록!$C:$C,MATCH($F110,참조_스케일목록!$A:$A,0))&amp;")","※없는 ID")&amp;" / 남 "&amp;IFERROR(INDEX(참조_스케일목록!$B:$B,MATCH($G110,참조_스케일목록!$A:$A,0))&amp;" ("&amp;INDEX(참조_스케일목록!$C:$C,MATCH($G110,참조_스케일목록!$A:$A,0))&amp;")","※없는 ID")))</f>
        <v/>
      </c>
      <c r="I110" s="14"/>
      <c r="J110" s="14"/>
      <c r="K110" s="14"/>
      <c r="L110" s="14"/>
      <c r="M110" s="14"/>
      <c r="N110" s="14"/>
      <c r="O110" s="14"/>
      <c r="P110" s="16"/>
      <c r="Q110" s="13"/>
      <c r="R110" s="18" t="str">
        <f t="shared" si="3"/>
        <v/>
      </c>
    </row>
    <row r="111" spans="1:18" ht="17.25" customHeight="1">
      <c r="A111" s="13"/>
      <c r="B111" s="14"/>
      <c r="C111" s="14"/>
      <c r="D111" s="14"/>
      <c r="E111" s="13"/>
      <c r="F111" s="14"/>
      <c r="G111" s="14"/>
      <c r="H111" s="15" t="str">
        <f>IF($F111="","",IF($G111="",IFERROR(INDEX(참조_스케일목록!$B:$B,MATCH($F111,참조_스케일목록!$A:$A,0))&amp;" ("&amp;INDEX(참조_스케일목록!$C:$C,MATCH($F111,참조_스케일목록!$A:$A,0))&amp;")","※없는 ID"),"여 "&amp;IFERROR(INDEX(참조_스케일목록!$B:$B,MATCH($F111,참조_스케일목록!$A:$A,0))&amp;" ("&amp;INDEX(참조_스케일목록!$C:$C,MATCH($F111,참조_스케일목록!$A:$A,0))&amp;")","※없는 ID")&amp;" / 남 "&amp;IFERROR(INDEX(참조_스케일목록!$B:$B,MATCH($G111,참조_스케일목록!$A:$A,0))&amp;" ("&amp;INDEX(참조_스케일목록!$C:$C,MATCH($G111,참조_스케일목록!$A:$A,0))&amp;")","※없는 ID")))</f>
        <v/>
      </c>
      <c r="I111" s="14"/>
      <c r="J111" s="14"/>
      <c r="K111" s="14"/>
      <c r="L111" s="14"/>
      <c r="M111" s="14"/>
      <c r="N111" s="14"/>
      <c r="O111" s="14"/>
      <c r="P111" s="16"/>
      <c r="Q111" s="13"/>
      <c r="R111" s="18" t="str">
        <f t="shared" si="3"/>
        <v/>
      </c>
    </row>
    <row r="112" spans="1:18" ht="17.25" customHeight="1">
      <c r="A112" s="13"/>
      <c r="B112" s="14"/>
      <c r="C112" s="14"/>
      <c r="D112" s="14"/>
      <c r="E112" s="13"/>
      <c r="F112" s="14"/>
      <c r="G112" s="14"/>
      <c r="H112" s="15" t="str">
        <f>IF($F112="","",IF($G112="",IFERROR(INDEX(참조_스케일목록!$B:$B,MATCH($F112,참조_스케일목록!$A:$A,0))&amp;" ("&amp;INDEX(참조_스케일목록!$C:$C,MATCH($F112,참조_스케일목록!$A:$A,0))&amp;")","※없는 ID"),"여 "&amp;IFERROR(INDEX(참조_스케일목록!$B:$B,MATCH($F112,참조_스케일목록!$A:$A,0))&amp;" ("&amp;INDEX(참조_스케일목록!$C:$C,MATCH($F112,참조_스케일목록!$A:$A,0))&amp;")","※없는 ID")&amp;" / 남 "&amp;IFERROR(INDEX(참조_스케일목록!$B:$B,MATCH($G112,참조_스케일목록!$A:$A,0))&amp;" ("&amp;INDEX(참조_스케일목록!$C:$C,MATCH($G112,참조_스케일목록!$A:$A,0))&amp;")","※없는 ID")))</f>
        <v/>
      </c>
      <c r="I112" s="14"/>
      <c r="J112" s="14"/>
      <c r="K112" s="14"/>
      <c r="L112" s="14"/>
      <c r="M112" s="14"/>
      <c r="N112" s="14"/>
      <c r="O112" s="14"/>
      <c r="P112" s="16"/>
      <c r="Q112" s="13"/>
      <c r="R112" s="18" t="str">
        <f t="shared" si="3"/>
        <v/>
      </c>
    </row>
    <row r="113" spans="1:18" ht="17.25" customHeight="1">
      <c r="A113" s="13"/>
      <c r="B113" s="14"/>
      <c r="C113" s="14"/>
      <c r="D113" s="14"/>
      <c r="E113" s="13"/>
      <c r="F113" s="14"/>
      <c r="G113" s="14"/>
      <c r="H113" s="15" t="str">
        <f>IF($F113="","",IF($G113="",IFERROR(INDEX(참조_스케일목록!$B:$B,MATCH($F113,참조_스케일목록!$A:$A,0))&amp;" ("&amp;INDEX(참조_스케일목록!$C:$C,MATCH($F113,참조_스케일목록!$A:$A,0))&amp;")","※없는 ID"),"여 "&amp;IFERROR(INDEX(참조_스케일목록!$B:$B,MATCH($F113,참조_스케일목록!$A:$A,0))&amp;" ("&amp;INDEX(참조_스케일목록!$C:$C,MATCH($F113,참조_스케일목록!$A:$A,0))&amp;")","※없는 ID")&amp;" / 남 "&amp;IFERROR(INDEX(참조_스케일목록!$B:$B,MATCH($G113,참조_스케일목록!$A:$A,0))&amp;" ("&amp;INDEX(참조_스케일목록!$C:$C,MATCH($G113,참조_스케일목록!$A:$A,0))&amp;")","※없는 ID")))</f>
        <v/>
      </c>
      <c r="I113" s="14"/>
      <c r="J113" s="14"/>
      <c r="K113" s="14"/>
      <c r="L113" s="14"/>
      <c r="M113" s="14"/>
      <c r="N113" s="14"/>
      <c r="O113" s="14"/>
      <c r="P113" s="16"/>
      <c r="Q113" s="13"/>
      <c r="R113" s="18" t="str">
        <f t="shared" si="3"/>
        <v/>
      </c>
    </row>
    <row r="114" spans="1:18" ht="17.25" customHeight="1">
      <c r="A114" s="13"/>
      <c r="B114" s="14"/>
      <c r="C114" s="14"/>
      <c r="D114" s="14"/>
      <c r="E114" s="13"/>
      <c r="F114" s="14"/>
      <c r="G114" s="14"/>
      <c r="H114" s="15" t="str">
        <f>IF($F114="","",IF($G114="",IFERROR(INDEX(참조_스케일목록!$B:$B,MATCH($F114,참조_스케일목록!$A:$A,0))&amp;" ("&amp;INDEX(참조_스케일목록!$C:$C,MATCH($F114,참조_스케일목록!$A:$A,0))&amp;")","※없는 ID"),"여 "&amp;IFERROR(INDEX(참조_스케일목록!$B:$B,MATCH($F114,참조_스케일목록!$A:$A,0))&amp;" ("&amp;INDEX(참조_스케일목록!$C:$C,MATCH($F114,참조_스케일목록!$A:$A,0))&amp;")","※없는 ID")&amp;" / 남 "&amp;IFERROR(INDEX(참조_스케일목록!$B:$B,MATCH($G114,참조_스케일목록!$A:$A,0))&amp;" ("&amp;INDEX(참조_스케일목록!$C:$C,MATCH($G114,참조_스케일목록!$A:$A,0))&amp;")","※없는 ID")))</f>
        <v/>
      </c>
      <c r="I114" s="14"/>
      <c r="J114" s="14"/>
      <c r="K114" s="14"/>
      <c r="L114" s="14"/>
      <c r="M114" s="14"/>
      <c r="N114" s="14"/>
      <c r="O114" s="14"/>
      <c r="P114" s="16"/>
      <c r="Q114" s="13"/>
      <c r="R114" s="18" t="str">
        <f t="shared" si="3"/>
        <v/>
      </c>
    </row>
    <row r="115" spans="1:18" ht="17.25" customHeight="1">
      <c r="A115" s="13"/>
      <c r="B115" s="14"/>
      <c r="C115" s="14"/>
      <c r="D115" s="14"/>
      <c r="E115" s="13"/>
      <c r="F115" s="14"/>
      <c r="G115" s="14"/>
      <c r="H115" s="15" t="str">
        <f>IF($F115="","",IF($G115="",IFERROR(INDEX(참조_스케일목록!$B:$B,MATCH($F115,참조_스케일목록!$A:$A,0))&amp;" ("&amp;INDEX(참조_스케일목록!$C:$C,MATCH($F115,참조_스케일목록!$A:$A,0))&amp;")","※없는 ID"),"여 "&amp;IFERROR(INDEX(참조_스케일목록!$B:$B,MATCH($F115,참조_스케일목록!$A:$A,0))&amp;" ("&amp;INDEX(참조_스케일목록!$C:$C,MATCH($F115,참조_스케일목록!$A:$A,0))&amp;")","※없는 ID")&amp;" / 남 "&amp;IFERROR(INDEX(참조_스케일목록!$B:$B,MATCH($G115,참조_스케일목록!$A:$A,0))&amp;" ("&amp;INDEX(참조_스케일목록!$C:$C,MATCH($G115,참조_스케일목록!$A:$A,0))&amp;")","※없는 ID")))</f>
        <v/>
      </c>
      <c r="I115" s="14"/>
      <c r="J115" s="14"/>
      <c r="K115" s="14"/>
      <c r="L115" s="14"/>
      <c r="M115" s="14"/>
      <c r="N115" s="14"/>
      <c r="O115" s="14"/>
      <c r="P115" s="16"/>
      <c r="Q115" s="13"/>
      <c r="R115" s="18" t="str">
        <f t="shared" si="3"/>
        <v/>
      </c>
    </row>
    <row r="116" spans="1:18" ht="17.25" customHeight="1">
      <c r="A116" s="13"/>
      <c r="B116" s="14"/>
      <c r="C116" s="14"/>
      <c r="D116" s="14"/>
      <c r="E116" s="13"/>
      <c r="F116" s="14"/>
      <c r="G116" s="14"/>
      <c r="H116" s="15" t="str">
        <f>IF($F116="","",IF($G116="",IFERROR(INDEX(참조_스케일목록!$B:$B,MATCH($F116,참조_스케일목록!$A:$A,0))&amp;" ("&amp;INDEX(참조_스케일목록!$C:$C,MATCH($F116,참조_스케일목록!$A:$A,0))&amp;")","※없는 ID"),"여 "&amp;IFERROR(INDEX(참조_스케일목록!$B:$B,MATCH($F116,참조_스케일목록!$A:$A,0))&amp;" ("&amp;INDEX(참조_스케일목록!$C:$C,MATCH($F116,참조_스케일목록!$A:$A,0))&amp;")","※없는 ID")&amp;" / 남 "&amp;IFERROR(INDEX(참조_스케일목록!$B:$B,MATCH($G116,참조_스케일목록!$A:$A,0))&amp;" ("&amp;INDEX(참조_스케일목록!$C:$C,MATCH($G116,참조_스케일목록!$A:$A,0))&amp;")","※없는 ID")))</f>
        <v/>
      </c>
      <c r="I116" s="14"/>
      <c r="J116" s="14"/>
      <c r="K116" s="14"/>
      <c r="L116" s="14"/>
      <c r="M116" s="14"/>
      <c r="N116" s="14"/>
      <c r="O116" s="14"/>
      <c r="P116" s="16"/>
      <c r="Q116" s="13"/>
      <c r="R116" s="18" t="str">
        <f t="shared" si="3"/>
        <v/>
      </c>
    </row>
    <row r="117" spans="1:18" ht="17.25" customHeight="1">
      <c r="A117" s="13"/>
      <c r="B117" s="14"/>
      <c r="C117" s="14"/>
      <c r="D117" s="14"/>
      <c r="E117" s="13"/>
      <c r="F117" s="14"/>
      <c r="G117" s="14"/>
      <c r="H117" s="15" t="str">
        <f>IF($F117="","",IF($G117="",IFERROR(INDEX(참조_스케일목록!$B:$B,MATCH($F117,참조_스케일목록!$A:$A,0))&amp;" ("&amp;INDEX(참조_스케일목록!$C:$C,MATCH($F117,참조_스케일목록!$A:$A,0))&amp;")","※없는 ID"),"여 "&amp;IFERROR(INDEX(참조_스케일목록!$B:$B,MATCH($F117,참조_스케일목록!$A:$A,0))&amp;" ("&amp;INDEX(참조_스케일목록!$C:$C,MATCH($F117,참조_스케일목록!$A:$A,0))&amp;")","※없는 ID")&amp;" / 남 "&amp;IFERROR(INDEX(참조_스케일목록!$B:$B,MATCH($G117,참조_스케일목록!$A:$A,0))&amp;" ("&amp;INDEX(참조_스케일목록!$C:$C,MATCH($G117,참조_스케일목록!$A:$A,0))&amp;")","※없는 ID")))</f>
        <v/>
      </c>
      <c r="I117" s="14"/>
      <c r="J117" s="14"/>
      <c r="K117" s="14"/>
      <c r="L117" s="14"/>
      <c r="M117" s="14"/>
      <c r="N117" s="14"/>
      <c r="O117" s="14"/>
      <c r="P117" s="16"/>
      <c r="Q117" s="13"/>
      <c r="R117" s="18" t="str">
        <f t="shared" si="3"/>
        <v/>
      </c>
    </row>
    <row r="118" spans="1:18" ht="17.25" customHeight="1">
      <c r="A118" s="13"/>
      <c r="B118" s="14"/>
      <c r="C118" s="14"/>
      <c r="D118" s="14"/>
      <c r="E118" s="13"/>
      <c r="F118" s="14"/>
      <c r="G118" s="14"/>
      <c r="H118" s="15" t="str">
        <f>IF($F118="","",IF($G118="",IFERROR(INDEX(참조_스케일목록!$B:$B,MATCH($F118,참조_스케일목록!$A:$A,0))&amp;" ("&amp;INDEX(참조_스케일목록!$C:$C,MATCH($F118,참조_스케일목록!$A:$A,0))&amp;")","※없는 ID"),"여 "&amp;IFERROR(INDEX(참조_스케일목록!$B:$B,MATCH($F118,참조_스케일목록!$A:$A,0))&amp;" ("&amp;INDEX(참조_스케일목록!$C:$C,MATCH($F118,참조_스케일목록!$A:$A,0))&amp;")","※없는 ID")&amp;" / 남 "&amp;IFERROR(INDEX(참조_스케일목록!$B:$B,MATCH($G118,참조_스케일목록!$A:$A,0))&amp;" ("&amp;INDEX(참조_스케일목록!$C:$C,MATCH($G118,참조_스케일목록!$A:$A,0))&amp;")","※없는 ID")))</f>
        <v/>
      </c>
      <c r="I118" s="14"/>
      <c r="J118" s="14"/>
      <c r="K118" s="14"/>
      <c r="L118" s="14"/>
      <c r="M118" s="14"/>
      <c r="N118" s="14"/>
      <c r="O118" s="14"/>
      <c r="P118" s="16"/>
      <c r="Q118" s="13"/>
      <c r="R118" s="18" t="str">
        <f t="shared" si="3"/>
        <v/>
      </c>
    </row>
    <row r="119" spans="1:18" ht="17.25" customHeight="1">
      <c r="A119" s="13"/>
      <c r="B119" s="14"/>
      <c r="C119" s="14"/>
      <c r="D119" s="14"/>
      <c r="E119" s="13"/>
      <c r="F119" s="14"/>
      <c r="G119" s="14"/>
      <c r="H119" s="15" t="str">
        <f>IF($F119="","",IF($G119="",IFERROR(INDEX(참조_스케일목록!$B:$B,MATCH($F119,참조_스케일목록!$A:$A,0))&amp;" ("&amp;INDEX(참조_스케일목록!$C:$C,MATCH($F119,참조_스케일목록!$A:$A,0))&amp;")","※없는 ID"),"여 "&amp;IFERROR(INDEX(참조_스케일목록!$B:$B,MATCH($F119,참조_스케일목록!$A:$A,0))&amp;" ("&amp;INDEX(참조_스케일목록!$C:$C,MATCH($F119,참조_스케일목록!$A:$A,0))&amp;")","※없는 ID")&amp;" / 남 "&amp;IFERROR(INDEX(참조_스케일목록!$B:$B,MATCH($G119,참조_스케일목록!$A:$A,0))&amp;" ("&amp;INDEX(참조_스케일목록!$C:$C,MATCH($G119,참조_스케일목록!$A:$A,0))&amp;")","※없는 ID")))</f>
        <v/>
      </c>
      <c r="I119" s="14"/>
      <c r="J119" s="14"/>
      <c r="K119" s="14"/>
      <c r="L119" s="14"/>
      <c r="M119" s="14"/>
      <c r="N119" s="14"/>
      <c r="O119" s="14"/>
      <c r="P119" s="16"/>
      <c r="Q119" s="13"/>
      <c r="R119" s="18" t="str">
        <f t="shared" si="3"/>
        <v/>
      </c>
    </row>
    <row r="120" spans="1:18" ht="17.25" customHeight="1">
      <c r="A120" s="13"/>
      <c r="B120" s="14"/>
      <c r="C120" s="14"/>
      <c r="D120" s="14"/>
      <c r="E120" s="13"/>
      <c r="F120" s="14"/>
      <c r="G120" s="14"/>
      <c r="H120" s="15" t="str">
        <f>IF($F120="","",IF($G120="",IFERROR(INDEX(참조_스케일목록!$B:$B,MATCH($F120,참조_스케일목록!$A:$A,0))&amp;" ("&amp;INDEX(참조_스케일목록!$C:$C,MATCH($F120,참조_스케일목록!$A:$A,0))&amp;")","※없는 ID"),"여 "&amp;IFERROR(INDEX(참조_스케일목록!$B:$B,MATCH($F120,참조_스케일목록!$A:$A,0))&amp;" ("&amp;INDEX(참조_스케일목록!$C:$C,MATCH($F120,참조_스케일목록!$A:$A,0))&amp;")","※없는 ID")&amp;" / 남 "&amp;IFERROR(INDEX(참조_스케일목록!$B:$B,MATCH($G120,참조_스케일목록!$A:$A,0))&amp;" ("&amp;INDEX(참조_스케일목록!$C:$C,MATCH($G120,참조_스케일목록!$A:$A,0))&amp;")","※없는 ID")))</f>
        <v/>
      </c>
      <c r="I120" s="14"/>
      <c r="J120" s="14"/>
      <c r="K120" s="14"/>
      <c r="L120" s="14"/>
      <c r="M120" s="14"/>
      <c r="N120" s="14"/>
      <c r="O120" s="14"/>
      <c r="P120" s="16"/>
      <c r="Q120" s="13"/>
      <c r="R120" s="18" t="str">
        <f t="shared" si="3"/>
        <v/>
      </c>
    </row>
    <row r="121" spans="1:18" ht="17.25" customHeight="1">
      <c r="A121" s="13"/>
      <c r="B121" s="14"/>
      <c r="C121" s="14"/>
      <c r="D121" s="14"/>
      <c r="E121" s="13"/>
      <c r="F121" s="14"/>
      <c r="G121" s="14"/>
      <c r="H121" s="15" t="str">
        <f>IF($F121="","",IF($G121="",IFERROR(INDEX(참조_스케일목록!$B:$B,MATCH($F121,참조_스케일목록!$A:$A,0))&amp;" ("&amp;INDEX(참조_스케일목록!$C:$C,MATCH($F121,참조_스케일목록!$A:$A,0))&amp;")","※없는 ID"),"여 "&amp;IFERROR(INDEX(참조_스케일목록!$B:$B,MATCH($F121,참조_스케일목록!$A:$A,0))&amp;" ("&amp;INDEX(참조_스케일목록!$C:$C,MATCH($F121,참조_스케일목록!$A:$A,0))&amp;")","※없는 ID")&amp;" / 남 "&amp;IFERROR(INDEX(참조_스케일목록!$B:$B,MATCH($G121,참조_스케일목록!$A:$A,0))&amp;" ("&amp;INDEX(참조_스케일목록!$C:$C,MATCH($G121,참조_스케일목록!$A:$A,0))&amp;")","※없는 ID")))</f>
        <v/>
      </c>
      <c r="I121" s="14"/>
      <c r="J121" s="14"/>
      <c r="K121" s="14"/>
      <c r="L121" s="14"/>
      <c r="M121" s="14"/>
      <c r="N121" s="14"/>
      <c r="O121" s="14"/>
      <c r="P121" s="16"/>
      <c r="Q121" s="13"/>
      <c r="R121" s="18" t="str">
        <f t="shared" si="3"/>
        <v/>
      </c>
    </row>
    <row r="122" spans="1:18" ht="17.25" customHeight="1">
      <c r="A122" s="13"/>
      <c r="B122" s="14"/>
      <c r="C122" s="14"/>
      <c r="D122" s="14"/>
      <c r="E122" s="13"/>
      <c r="F122" s="14"/>
      <c r="G122" s="14"/>
      <c r="H122" s="15" t="str">
        <f>IF($F122="","",IF($G122="",IFERROR(INDEX(참조_스케일목록!$B:$B,MATCH($F122,참조_스케일목록!$A:$A,0))&amp;" ("&amp;INDEX(참조_스케일목록!$C:$C,MATCH($F122,참조_스케일목록!$A:$A,0))&amp;")","※없는 ID"),"여 "&amp;IFERROR(INDEX(참조_스케일목록!$B:$B,MATCH($F122,참조_스케일목록!$A:$A,0))&amp;" ("&amp;INDEX(참조_스케일목록!$C:$C,MATCH($F122,참조_스케일목록!$A:$A,0))&amp;")","※없는 ID")&amp;" / 남 "&amp;IFERROR(INDEX(참조_스케일목록!$B:$B,MATCH($G122,참조_스케일목록!$A:$A,0))&amp;" ("&amp;INDEX(참조_스케일목록!$C:$C,MATCH($G122,참조_스케일목록!$A:$A,0))&amp;")","※없는 ID")))</f>
        <v/>
      </c>
      <c r="I122" s="14"/>
      <c r="J122" s="14"/>
      <c r="K122" s="14"/>
      <c r="L122" s="14"/>
      <c r="M122" s="14"/>
      <c r="N122" s="14"/>
      <c r="O122" s="14"/>
      <c r="P122" s="16"/>
      <c r="Q122" s="13"/>
      <c r="R122" s="18" t="str">
        <f t="shared" si="3"/>
        <v/>
      </c>
    </row>
    <row r="123" spans="1:18" ht="17.25" customHeight="1">
      <c r="A123" s="13"/>
      <c r="B123" s="14"/>
      <c r="C123" s="14"/>
      <c r="D123" s="14"/>
      <c r="E123" s="13"/>
      <c r="F123" s="14"/>
      <c r="G123" s="14"/>
      <c r="H123" s="15" t="str">
        <f>IF($F123="","",IF($G123="",IFERROR(INDEX(참조_스케일목록!$B:$B,MATCH($F123,참조_스케일목록!$A:$A,0))&amp;" ("&amp;INDEX(참조_스케일목록!$C:$C,MATCH($F123,참조_스케일목록!$A:$A,0))&amp;")","※없는 ID"),"여 "&amp;IFERROR(INDEX(참조_스케일목록!$B:$B,MATCH($F123,참조_스케일목록!$A:$A,0))&amp;" ("&amp;INDEX(참조_스케일목록!$C:$C,MATCH($F123,참조_스케일목록!$A:$A,0))&amp;")","※없는 ID")&amp;" / 남 "&amp;IFERROR(INDEX(참조_스케일목록!$B:$B,MATCH($G123,참조_스케일목록!$A:$A,0))&amp;" ("&amp;INDEX(참조_스케일목록!$C:$C,MATCH($G123,참조_스케일목록!$A:$A,0))&amp;")","※없는 ID")))</f>
        <v/>
      </c>
      <c r="I123" s="14"/>
      <c r="J123" s="14"/>
      <c r="K123" s="14"/>
      <c r="L123" s="14"/>
      <c r="M123" s="14"/>
      <c r="N123" s="14"/>
      <c r="O123" s="14"/>
      <c r="P123" s="16"/>
      <c r="Q123" s="13"/>
      <c r="R123" s="18" t="str">
        <f t="shared" si="3"/>
        <v/>
      </c>
    </row>
    <row r="124" spans="1:18" ht="17.25" customHeight="1">
      <c r="A124" s="13"/>
      <c r="B124" s="14"/>
      <c r="C124" s="14"/>
      <c r="D124" s="14"/>
      <c r="E124" s="13"/>
      <c r="F124" s="14"/>
      <c r="G124" s="14"/>
      <c r="H124" s="15" t="str">
        <f>IF($F124="","",IF($G124="",IFERROR(INDEX(참조_스케일목록!$B:$B,MATCH($F124,참조_스케일목록!$A:$A,0))&amp;" ("&amp;INDEX(참조_스케일목록!$C:$C,MATCH($F124,참조_스케일목록!$A:$A,0))&amp;")","※없는 ID"),"여 "&amp;IFERROR(INDEX(참조_스케일목록!$B:$B,MATCH($F124,참조_스케일목록!$A:$A,0))&amp;" ("&amp;INDEX(참조_스케일목록!$C:$C,MATCH($F124,참조_스케일목록!$A:$A,0))&amp;")","※없는 ID")&amp;" / 남 "&amp;IFERROR(INDEX(참조_스케일목록!$B:$B,MATCH($G124,참조_스케일목록!$A:$A,0))&amp;" ("&amp;INDEX(참조_스케일목록!$C:$C,MATCH($G124,참조_스케일목록!$A:$A,0))&amp;")","※없는 ID")))</f>
        <v/>
      </c>
      <c r="I124" s="14"/>
      <c r="J124" s="14"/>
      <c r="K124" s="14"/>
      <c r="L124" s="14"/>
      <c r="M124" s="14"/>
      <c r="N124" s="14"/>
      <c r="O124" s="14"/>
      <c r="P124" s="16"/>
      <c r="Q124" s="13"/>
      <c r="R124" s="18" t="str">
        <f t="shared" si="3"/>
        <v/>
      </c>
    </row>
    <row r="125" spans="1:18" ht="17.25" customHeight="1">
      <c r="A125" s="13"/>
      <c r="B125" s="14"/>
      <c r="C125" s="14"/>
      <c r="D125" s="14"/>
      <c r="E125" s="13"/>
      <c r="F125" s="14"/>
      <c r="G125" s="14"/>
      <c r="H125" s="15" t="str">
        <f>IF($F125="","",IF($G125="",IFERROR(INDEX(참조_스케일목록!$B:$B,MATCH($F125,참조_스케일목록!$A:$A,0))&amp;" ("&amp;INDEX(참조_스케일목록!$C:$C,MATCH($F125,참조_스케일목록!$A:$A,0))&amp;")","※없는 ID"),"여 "&amp;IFERROR(INDEX(참조_스케일목록!$B:$B,MATCH($F125,참조_스케일목록!$A:$A,0))&amp;" ("&amp;INDEX(참조_스케일목록!$C:$C,MATCH($F125,참조_스케일목록!$A:$A,0))&amp;")","※없는 ID")&amp;" / 남 "&amp;IFERROR(INDEX(참조_스케일목록!$B:$B,MATCH($G125,참조_스케일목록!$A:$A,0))&amp;" ("&amp;INDEX(참조_스케일목록!$C:$C,MATCH($G125,참조_스케일목록!$A:$A,0))&amp;")","※없는 ID")))</f>
        <v/>
      </c>
      <c r="I125" s="14"/>
      <c r="J125" s="14"/>
      <c r="K125" s="14"/>
      <c r="L125" s="14"/>
      <c r="M125" s="14"/>
      <c r="N125" s="14"/>
      <c r="O125" s="14"/>
      <c r="P125" s="16"/>
      <c r="Q125" s="13"/>
      <c r="R125" s="18" t="str">
        <f t="shared" si="3"/>
        <v/>
      </c>
    </row>
    <row r="126" spans="1:18" ht="17.25" customHeight="1">
      <c r="A126" s="13"/>
      <c r="B126" s="14"/>
      <c r="C126" s="14"/>
      <c r="D126" s="14"/>
      <c r="E126" s="13"/>
      <c r="F126" s="14"/>
      <c r="G126" s="14"/>
      <c r="H126" s="15" t="str">
        <f>IF($F126="","",IF($G126="",IFERROR(INDEX(참조_스케일목록!$B:$B,MATCH($F126,참조_스케일목록!$A:$A,0))&amp;" ("&amp;INDEX(참조_스케일목록!$C:$C,MATCH($F126,참조_스케일목록!$A:$A,0))&amp;")","※없는 ID"),"여 "&amp;IFERROR(INDEX(참조_스케일목록!$B:$B,MATCH($F126,참조_스케일목록!$A:$A,0))&amp;" ("&amp;INDEX(참조_스케일목록!$C:$C,MATCH($F126,참조_스케일목록!$A:$A,0))&amp;")","※없는 ID")&amp;" / 남 "&amp;IFERROR(INDEX(참조_스케일목록!$B:$B,MATCH($G126,참조_스케일목록!$A:$A,0))&amp;" ("&amp;INDEX(참조_스케일목록!$C:$C,MATCH($G126,참조_스케일목록!$A:$A,0))&amp;")","※없는 ID")))</f>
        <v/>
      </c>
      <c r="I126" s="14"/>
      <c r="J126" s="14"/>
      <c r="K126" s="14"/>
      <c r="L126" s="14"/>
      <c r="M126" s="14"/>
      <c r="N126" s="14"/>
      <c r="O126" s="14"/>
      <c r="P126" s="16"/>
      <c r="Q126" s="13"/>
      <c r="R126" s="18" t="str">
        <f t="shared" si="3"/>
        <v/>
      </c>
    </row>
    <row r="127" spans="1:18" ht="17.25" customHeight="1">
      <c r="A127" s="13"/>
      <c r="B127" s="14"/>
      <c r="C127" s="14"/>
      <c r="D127" s="14"/>
      <c r="E127" s="13"/>
      <c r="F127" s="14"/>
      <c r="G127" s="14"/>
      <c r="H127" s="15" t="str">
        <f>IF($F127="","",IF($G127="",IFERROR(INDEX(참조_스케일목록!$B:$B,MATCH($F127,참조_스케일목록!$A:$A,0))&amp;" ("&amp;INDEX(참조_스케일목록!$C:$C,MATCH($F127,참조_스케일목록!$A:$A,0))&amp;")","※없는 ID"),"여 "&amp;IFERROR(INDEX(참조_스케일목록!$B:$B,MATCH($F127,참조_스케일목록!$A:$A,0))&amp;" ("&amp;INDEX(참조_스케일목록!$C:$C,MATCH($F127,참조_스케일목록!$A:$A,0))&amp;")","※없는 ID")&amp;" / 남 "&amp;IFERROR(INDEX(참조_스케일목록!$B:$B,MATCH($G127,참조_스케일목록!$A:$A,0))&amp;" ("&amp;INDEX(참조_스케일목록!$C:$C,MATCH($G127,참조_스케일목록!$A:$A,0))&amp;")","※없는 ID")))</f>
        <v/>
      </c>
      <c r="I127" s="14"/>
      <c r="J127" s="14"/>
      <c r="K127" s="14"/>
      <c r="L127" s="14"/>
      <c r="M127" s="14"/>
      <c r="N127" s="14"/>
      <c r="O127" s="14"/>
      <c r="P127" s="16"/>
      <c r="Q127" s="13"/>
      <c r="R127" s="18" t="str">
        <f t="shared" si="3"/>
        <v/>
      </c>
    </row>
    <row r="128" spans="1:18" ht="17.25" customHeight="1">
      <c r="A128" s="13"/>
      <c r="B128" s="14"/>
      <c r="C128" s="14"/>
      <c r="D128" s="14"/>
      <c r="E128" s="13"/>
      <c r="F128" s="14"/>
      <c r="G128" s="14"/>
      <c r="H128" s="15" t="str">
        <f>IF($F128="","",IF($G128="",IFERROR(INDEX(참조_스케일목록!$B:$B,MATCH($F128,참조_스케일목록!$A:$A,0))&amp;" ("&amp;INDEX(참조_스케일목록!$C:$C,MATCH($F128,참조_스케일목록!$A:$A,0))&amp;")","※없는 ID"),"여 "&amp;IFERROR(INDEX(참조_스케일목록!$B:$B,MATCH($F128,참조_스케일목록!$A:$A,0))&amp;" ("&amp;INDEX(참조_스케일목록!$C:$C,MATCH($F128,참조_스케일목록!$A:$A,0))&amp;")","※없는 ID")&amp;" / 남 "&amp;IFERROR(INDEX(참조_스케일목록!$B:$B,MATCH($G128,참조_스케일목록!$A:$A,0))&amp;" ("&amp;INDEX(참조_스케일목록!$C:$C,MATCH($G128,참조_스케일목록!$A:$A,0))&amp;")","※없는 ID")))</f>
        <v/>
      </c>
      <c r="I128" s="14"/>
      <c r="J128" s="14"/>
      <c r="K128" s="14"/>
      <c r="L128" s="14"/>
      <c r="M128" s="14"/>
      <c r="N128" s="14"/>
      <c r="O128" s="14"/>
      <c r="P128" s="16"/>
      <c r="Q128" s="13"/>
      <c r="R128" s="18" t="str">
        <f t="shared" si="3"/>
        <v/>
      </c>
    </row>
    <row r="129" spans="1:18" ht="17.25" customHeight="1">
      <c r="A129" s="13"/>
      <c r="B129" s="14"/>
      <c r="C129" s="14"/>
      <c r="D129" s="14"/>
      <c r="E129" s="13"/>
      <c r="F129" s="14"/>
      <c r="G129" s="14"/>
      <c r="H129" s="15" t="str">
        <f>IF($F129="","",IF($G129="",IFERROR(INDEX(참조_스케일목록!$B:$B,MATCH($F129,참조_스케일목록!$A:$A,0))&amp;" ("&amp;INDEX(참조_스케일목록!$C:$C,MATCH($F129,참조_스케일목록!$A:$A,0))&amp;")","※없는 ID"),"여 "&amp;IFERROR(INDEX(참조_스케일목록!$B:$B,MATCH($F129,참조_스케일목록!$A:$A,0))&amp;" ("&amp;INDEX(참조_스케일목록!$C:$C,MATCH($F129,참조_스케일목록!$A:$A,0))&amp;")","※없는 ID")&amp;" / 남 "&amp;IFERROR(INDEX(참조_스케일목록!$B:$B,MATCH($G129,참조_스케일목록!$A:$A,0))&amp;" ("&amp;INDEX(참조_스케일목록!$C:$C,MATCH($G129,참조_스케일목록!$A:$A,0))&amp;")","※없는 ID")))</f>
        <v/>
      </c>
      <c r="I129" s="14"/>
      <c r="J129" s="14"/>
      <c r="K129" s="14"/>
      <c r="L129" s="14"/>
      <c r="M129" s="14"/>
      <c r="N129" s="14"/>
      <c r="O129" s="14"/>
      <c r="P129" s="16"/>
      <c r="Q129" s="13"/>
      <c r="R129" s="18" t="str">
        <f t="shared" si="3"/>
        <v/>
      </c>
    </row>
    <row r="130" spans="1:18" ht="17.25" customHeight="1">
      <c r="A130" s="13"/>
      <c r="B130" s="14"/>
      <c r="C130" s="14"/>
      <c r="D130" s="14"/>
      <c r="E130" s="13"/>
      <c r="F130" s="14"/>
      <c r="G130" s="14"/>
      <c r="H130" s="15" t="str">
        <f>IF($F130="","",IF($G130="",IFERROR(INDEX(참조_스케일목록!$B:$B,MATCH($F130,참조_스케일목록!$A:$A,0))&amp;" ("&amp;INDEX(참조_스케일목록!$C:$C,MATCH($F130,참조_스케일목록!$A:$A,0))&amp;")","※없는 ID"),"여 "&amp;IFERROR(INDEX(참조_스케일목록!$B:$B,MATCH($F130,참조_스케일목록!$A:$A,0))&amp;" ("&amp;INDEX(참조_스케일목록!$C:$C,MATCH($F130,참조_스케일목록!$A:$A,0))&amp;")","※없는 ID")&amp;" / 남 "&amp;IFERROR(INDEX(참조_스케일목록!$B:$B,MATCH($G130,참조_스케일목록!$A:$A,0))&amp;" ("&amp;INDEX(참조_스케일목록!$C:$C,MATCH($G130,참조_스케일목록!$A:$A,0))&amp;")","※없는 ID")))</f>
        <v/>
      </c>
      <c r="I130" s="14"/>
      <c r="J130" s="14"/>
      <c r="K130" s="14"/>
      <c r="L130" s="14"/>
      <c r="M130" s="14"/>
      <c r="N130" s="14"/>
      <c r="O130" s="14"/>
      <c r="P130" s="16"/>
      <c r="Q130" s="13"/>
      <c r="R130" s="18" t="str">
        <f t="shared" si="3"/>
        <v/>
      </c>
    </row>
    <row r="131" spans="1:18" ht="17.25" customHeight="1">
      <c r="A131" s="13"/>
      <c r="B131" s="14"/>
      <c r="C131" s="14"/>
      <c r="D131" s="14"/>
      <c r="E131" s="13"/>
      <c r="F131" s="14"/>
      <c r="G131" s="14"/>
      <c r="H131" s="15" t="str">
        <f>IF($F131="","",IF($G131="",IFERROR(INDEX(참조_스케일목록!$B:$B,MATCH($F131,참조_스케일목록!$A:$A,0))&amp;" ("&amp;INDEX(참조_스케일목록!$C:$C,MATCH($F131,참조_스케일목록!$A:$A,0))&amp;")","※없는 ID"),"여 "&amp;IFERROR(INDEX(참조_스케일목록!$B:$B,MATCH($F131,참조_스케일목록!$A:$A,0))&amp;" ("&amp;INDEX(참조_스케일목록!$C:$C,MATCH($F131,참조_스케일목록!$A:$A,0))&amp;")","※없는 ID")&amp;" / 남 "&amp;IFERROR(INDEX(참조_스케일목록!$B:$B,MATCH($G131,참조_스케일목록!$A:$A,0))&amp;" ("&amp;INDEX(참조_스케일목록!$C:$C,MATCH($G131,참조_스케일목록!$A:$A,0))&amp;")","※없는 ID")))</f>
        <v/>
      </c>
      <c r="I131" s="14"/>
      <c r="J131" s="14"/>
      <c r="K131" s="14"/>
      <c r="L131" s="14"/>
      <c r="M131" s="14"/>
      <c r="N131" s="14"/>
      <c r="O131" s="14"/>
      <c r="P131" s="16"/>
      <c r="Q131" s="13"/>
      <c r="R131" s="18" t="str">
        <f t="shared" ref="R131:R162" si="4">IF($A131="","",IF(AND($C131&lt;&gt;"",OR($C131&lt;1,$C131&gt;5,MOD($C131*2,1)&lt;&gt;0)),"자리는 1~5 (0.5단위)",IF(COUNTIFS($A$3:$A$170,$A131,$B$3:$B$170,$B131,$C$3:$C$170,$C131)&gt;1,"같은 자리 중복",IF($D131="","스킬ID 비었음",IF(COUNTIF($D$3:$D$170,$D131)&gt;1,"스킬ID 중복",IF(AND($G131&lt;&gt;"",$F131=""),"여 스케일도 필요",IF(AND($K131&lt;&gt;"",ISNA(MATCH($K131,$D$3:$D$170,0))),"선행스킬1 없음",IF(AND($L131&lt;&gt;"",ISNA(MATCH($L131,$D$3:$D$170,0))),"선행스킬2 없음",IF(AND($N131&lt;&gt;"",ISNA(MATCH($N131,$D$3:$D$170,0))),"타계열선행 없음","OK")))))))))</f>
        <v/>
      </c>
    </row>
    <row r="132" spans="1:18" ht="17.25" customHeight="1">
      <c r="A132" s="13"/>
      <c r="B132" s="14"/>
      <c r="C132" s="14"/>
      <c r="D132" s="14"/>
      <c r="E132" s="13"/>
      <c r="F132" s="14"/>
      <c r="G132" s="14"/>
      <c r="H132" s="15" t="str">
        <f>IF($F132="","",IF($G132="",IFERROR(INDEX(참조_스케일목록!$B:$B,MATCH($F132,참조_스케일목록!$A:$A,0))&amp;" ("&amp;INDEX(참조_스케일목록!$C:$C,MATCH($F132,참조_스케일목록!$A:$A,0))&amp;")","※없는 ID"),"여 "&amp;IFERROR(INDEX(참조_스케일목록!$B:$B,MATCH($F132,참조_스케일목록!$A:$A,0))&amp;" ("&amp;INDEX(참조_스케일목록!$C:$C,MATCH($F132,참조_스케일목록!$A:$A,0))&amp;")","※없는 ID")&amp;" / 남 "&amp;IFERROR(INDEX(참조_스케일목록!$B:$B,MATCH($G132,참조_스케일목록!$A:$A,0))&amp;" ("&amp;INDEX(참조_스케일목록!$C:$C,MATCH($G132,참조_스케일목록!$A:$A,0))&amp;")","※없는 ID")))</f>
        <v/>
      </c>
      <c r="I132" s="14"/>
      <c r="J132" s="14"/>
      <c r="K132" s="14"/>
      <c r="L132" s="14"/>
      <c r="M132" s="14"/>
      <c r="N132" s="14"/>
      <c r="O132" s="14"/>
      <c r="P132" s="16"/>
      <c r="Q132" s="13"/>
      <c r="R132" s="18" t="str">
        <f t="shared" si="4"/>
        <v/>
      </c>
    </row>
    <row r="133" spans="1:18" ht="17.25" customHeight="1">
      <c r="A133" s="13"/>
      <c r="B133" s="14"/>
      <c r="C133" s="14"/>
      <c r="D133" s="14"/>
      <c r="E133" s="13"/>
      <c r="F133" s="14"/>
      <c r="G133" s="14"/>
      <c r="H133" s="15" t="str">
        <f>IF($F133="","",IF($G133="",IFERROR(INDEX(참조_스케일목록!$B:$B,MATCH($F133,참조_스케일목록!$A:$A,0))&amp;" ("&amp;INDEX(참조_스케일목록!$C:$C,MATCH($F133,참조_스케일목록!$A:$A,0))&amp;")","※없는 ID"),"여 "&amp;IFERROR(INDEX(참조_스케일목록!$B:$B,MATCH($F133,참조_스케일목록!$A:$A,0))&amp;" ("&amp;INDEX(참조_스케일목록!$C:$C,MATCH($F133,참조_스케일목록!$A:$A,0))&amp;")","※없는 ID")&amp;" / 남 "&amp;IFERROR(INDEX(참조_스케일목록!$B:$B,MATCH($G133,참조_스케일목록!$A:$A,0))&amp;" ("&amp;INDEX(참조_스케일목록!$C:$C,MATCH($G133,참조_스케일목록!$A:$A,0))&amp;")","※없는 ID")))</f>
        <v/>
      </c>
      <c r="I133" s="14"/>
      <c r="J133" s="14"/>
      <c r="K133" s="14"/>
      <c r="L133" s="14"/>
      <c r="M133" s="14"/>
      <c r="N133" s="14"/>
      <c r="O133" s="14"/>
      <c r="P133" s="16"/>
      <c r="Q133" s="13"/>
      <c r="R133" s="18" t="str">
        <f t="shared" si="4"/>
        <v/>
      </c>
    </row>
    <row r="134" spans="1:18" ht="17.25" customHeight="1">
      <c r="A134" s="13"/>
      <c r="B134" s="14"/>
      <c r="C134" s="14"/>
      <c r="D134" s="14"/>
      <c r="E134" s="13"/>
      <c r="F134" s="14"/>
      <c r="G134" s="14"/>
      <c r="H134" s="15" t="str">
        <f>IF($F134="","",IF($G134="",IFERROR(INDEX(참조_스케일목록!$B:$B,MATCH($F134,참조_스케일목록!$A:$A,0))&amp;" ("&amp;INDEX(참조_스케일목록!$C:$C,MATCH($F134,참조_스케일목록!$A:$A,0))&amp;")","※없는 ID"),"여 "&amp;IFERROR(INDEX(참조_스케일목록!$B:$B,MATCH($F134,참조_스케일목록!$A:$A,0))&amp;" ("&amp;INDEX(참조_스케일목록!$C:$C,MATCH($F134,참조_스케일목록!$A:$A,0))&amp;")","※없는 ID")&amp;" / 남 "&amp;IFERROR(INDEX(참조_스케일목록!$B:$B,MATCH($G134,참조_스케일목록!$A:$A,0))&amp;" ("&amp;INDEX(참조_스케일목록!$C:$C,MATCH($G134,참조_스케일목록!$A:$A,0))&amp;")","※없는 ID")))</f>
        <v/>
      </c>
      <c r="I134" s="14"/>
      <c r="J134" s="14"/>
      <c r="K134" s="14"/>
      <c r="L134" s="14"/>
      <c r="M134" s="14"/>
      <c r="N134" s="14"/>
      <c r="O134" s="14"/>
      <c r="P134" s="16"/>
      <c r="Q134" s="13"/>
      <c r="R134" s="18" t="str">
        <f t="shared" si="4"/>
        <v/>
      </c>
    </row>
    <row r="135" spans="1:18" ht="17.25" customHeight="1">
      <c r="A135" s="13"/>
      <c r="B135" s="14"/>
      <c r="C135" s="14"/>
      <c r="D135" s="14"/>
      <c r="E135" s="13"/>
      <c r="F135" s="14"/>
      <c r="G135" s="14"/>
      <c r="H135" s="15" t="str">
        <f>IF($F135="","",IF($G135="",IFERROR(INDEX(참조_스케일목록!$B:$B,MATCH($F135,참조_스케일목록!$A:$A,0))&amp;" ("&amp;INDEX(참조_스케일목록!$C:$C,MATCH($F135,참조_스케일목록!$A:$A,0))&amp;")","※없는 ID"),"여 "&amp;IFERROR(INDEX(참조_스케일목록!$B:$B,MATCH($F135,참조_스케일목록!$A:$A,0))&amp;" ("&amp;INDEX(참조_스케일목록!$C:$C,MATCH($F135,참조_스케일목록!$A:$A,0))&amp;")","※없는 ID")&amp;" / 남 "&amp;IFERROR(INDEX(참조_스케일목록!$B:$B,MATCH($G135,참조_스케일목록!$A:$A,0))&amp;" ("&amp;INDEX(참조_스케일목록!$C:$C,MATCH($G135,참조_스케일목록!$A:$A,0))&amp;")","※없는 ID")))</f>
        <v/>
      </c>
      <c r="I135" s="14"/>
      <c r="J135" s="14"/>
      <c r="K135" s="14"/>
      <c r="L135" s="14"/>
      <c r="M135" s="14"/>
      <c r="N135" s="14"/>
      <c r="O135" s="14"/>
      <c r="P135" s="16"/>
      <c r="Q135" s="13"/>
      <c r="R135" s="18" t="str">
        <f t="shared" si="4"/>
        <v/>
      </c>
    </row>
    <row r="136" spans="1:18" ht="17.25" customHeight="1">
      <c r="A136" s="13"/>
      <c r="B136" s="14"/>
      <c r="C136" s="14"/>
      <c r="D136" s="14"/>
      <c r="E136" s="13"/>
      <c r="F136" s="14"/>
      <c r="G136" s="14"/>
      <c r="H136" s="15" t="str">
        <f>IF($F136="","",IF($G136="",IFERROR(INDEX(참조_스케일목록!$B:$B,MATCH($F136,참조_스케일목록!$A:$A,0))&amp;" ("&amp;INDEX(참조_스케일목록!$C:$C,MATCH($F136,참조_스케일목록!$A:$A,0))&amp;")","※없는 ID"),"여 "&amp;IFERROR(INDEX(참조_스케일목록!$B:$B,MATCH($F136,참조_스케일목록!$A:$A,0))&amp;" ("&amp;INDEX(참조_스케일목록!$C:$C,MATCH($F136,참조_스케일목록!$A:$A,0))&amp;")","※없는 ID")&amp;" / 남 "&amp;IFERROR(INDEX(참조_스케일목록!$B:$B,MATCH($G136,참조_스케일목록!$A:$A,0))&amp;" ("&amp;INDEX(참조_스케일목록!$C:$C,MATCH($G136,참조_스케일목록!$A:$A,0))&amp;")","※없는 ID")))</f>
        <v/>
      </c>
      <c r="I136" s="14"/>
      <c r="J136" s="14"/>
      <c r="K136" s="14"/>
      <c r="L136" s="14"/>
      <c r="M136" s="14"/>
      <c r="N136" s="14"/>
      <c r="O136" s="14"/>
      <c r="P136" s="16"/>
      <c r="Q136" s="13"/>
      <c r="R136" s="18" t="str">
        <f t="shared" si="4"/>
        <v/>
      </c>
    </row>
    <row r="137" spans="1:18" ht="17.25" customHeight="1">
      <c r="A137" s="13"/>
      <c r="B137" s="14"/>
      <c r="C137" s="14"/>
      <c r="D137" s="14"/>
      <c r="E137" s="13"/>
      <c r="F137" s="14"/>
      <c r="G137" s="14"/>
      <c r="H137" s="15" t="str">
        <f>IF($F137="","",IF($G137="",IFERROR(INDEX(참조_스케일목록!$B:$B,MATCH($F137,참조_스케일목록!$A:$A,0))&amp;" ("&amp;INDEX(참조_스케일목록!$C:$C,MATCH($F137,참조_스케일목록!$A:$A,0))&amp;")","※없는 ID"),"여 "&amp;IFERROR(INDEX(참조_스케일목록!$B:$B,MATCH($F137,참조_스케일목록!$A:$A,0))&amp;" ("&amp;INDEX(참조_스케일목록!$C:$C,MATCH($F137,참조_스케일목록!$A:$A,0))&amp;")","※없는 ID")&amp;" / 남 "&amp;IFERROR(INDEX(참조_스케일목록!$B:$B,MATCH($G137,참조_스케일목록!$A:$A,0))&amp;" ("&amp;INDEX(참조_스케일목록!$C:$C,MATCH($G137,참조_스케일목록!$A:$A,0))&amp;")","※없는 ID")))</f>
        <v/>
      </c>
      <c r="I137" s="14"/>
      <c r="J137" s="14"/>
      <c r="K137" s="14"/>
      <c r="L137" s="14"/>
      <c r="M137" s="14"/>
      <c r="N137" s="14"/>
      <c r="O137" s="14"/>
      <c r="P137" s="16"/>
      <c r="Q137" s="13"/>
      <c r="R137" s="18" t="str">
        <f t="shared" si="4"/>
        <v/>
      </c>
    </row>
    <row r="138" spans="1:18" ht="17.25" customHeight="1">
      <c r="A138" s="13"/>
      <c r="B138" s="14"/>
      <c r="C138" s="14"/>
      <c r="D138" s="14"/>
      <c r="E138" s="13"/>
      <c r="F138" s="14"/>
      <c r="G138" s="14"/>
      <c r="H138" s="15" t="str">
        <f>IF($F138="","",IF($G138="",IFERROR(INDEX(참조_스케일목록!$B:$B,MATCH($F138,참조_스케일목록!$A:$A,0))&amp;" ("&amp;INDEX(참조_스케일목록!$C:$C,MATCH($F138,참조_스케일목록!$A:$A,0))&amp;")","※없는 ID"),"여 "&amp;IFERROR(INDEX(참조_스케일목록!$B:$B,MATCH($F138,참조_스케일목록!$A:$A,0))&amp;" ("&amp;INDEX(참조_스케일목록!$C:$C,MATCH($F138,참조_스케일목록!$A:$A,0))&amp;")","※없는 ID")&amp;" / 남 "&amp;IFERROR(INDEX(참조_스케일목록!$B:$B,MATCH($G138,참조_스케일목록!$A:$A,0))&amp;" ("&amp;INDEX(참조_스케일목록!$C:$C,MATCH($G138,참조_스케일목록!$A:$A,0))&amp;")","※없는 ID")))</f>
        <v/>
      </c>
      <c r="I138" s="14"/>
      <c r="J138" s="14"/>
      <c r="K138" s="14"/>
      <c r="L138" s="14"/>
      <c r="M138" s="14"/>
      <c r="N138" s="14"/>
      <c r="O138" s="14"/>
      <c r="P138" s="16"/>
      <c r="Q138" s="13"/>
      <c r="R138" s="18" t="str">
        <f t="shared" si="4"/>
        <v/>
      </c>
    </row>
    <row r="139" spans="1:18" ht="17.25" customHeight="1">
      <c r="A139" s="13"/>
      <c r="B139" s="14"/>
      <c r="C139" s="14"/>
      <c r="D139" s="14"/>
      <c r="E139" s="13"/>
      <c r="F139" s="14"/>
      <c r="G139" s="14"/>
      <c r="H139" s="15" t="str">
        <f>IF($F139="","",IF($G139="",IFERROR(INDEX(참조_스케일목록!$B:$B,MATCH($F139,참조_스케일목록!$A:$A,0))&amp;" ("&amp;INDEX(참조_스케일목록!$C:$C,MATCH($F139,참조_스케일목록!$A:$A,0))&amp;")","※없는 ID"),"여 "&amp;IFERROR(INDEX(참조_스케일목록!$B:$B,MATCH($F139,참조_스케일목록!$A:$A,0))&amp;" ("&amp;INDEX(참조_스케일목록!$C:$C,MATCH($F139,참조_스케일목록!$A:$A,0))&amp;")","※없는 ID")&amp;" / 남 "&amp;IFERROR(INDEX(참조_스케일목록!$B:$B,MATCH($G139,참조_스케일목록!$A:$A,0))&amp;" ("&amp;INDEX(참조_스케일목록!$C:$C,MATCH($G139,참조_스케일목록!$A:$A,0))&amp;")","※없는 ID")))</f>
        <v/>
      </c>
      <c r="I139" s="14"/>
      <c r="J139" s="14"/>
      <c r="K139" s="14"/>
      <c r="L139" s="14"/>
      <c r="M139" s="14"/>
      <c r="N139" s="14"/>
      <c r="O139" s="14"/>
      <c r="P139" s="16"/>
      <c r="Q139" s="13"/>
      <c r="R139" s="18" t="str">
        <f t="shared" si="4"/>
        <v/>
      </c>
    </row>
    <row r="140" spans="1:18" ht="17.25" customHeight="1">
      <c r="A140" s="13"/>
      <c r="B140" s="14"/>
      <c r="C140" s="14"/>
      <c r="D140" s="14"/>
      <c r="E140" s="13"/>
      <c r="F140" s="14"/>
      <c r="G140" s="14"/>
      <c r="H140" s="15" t="str">
        <f>IF($F140="","",IF($G140="",IFERROR(INDEX(참조_스케일목록!$B:$B,MATCH($F140,참조_스케일목록!$A:$A,0))&amp;" ("&amp;INDEX(참조_스케일목록!$C:$C,MATCH($F140,참조_스케일목록!$A:$A,0))&amp;")","※없는 ID"),"여 "&amp;IFERROR(INDEX(참조_스케일목록!$B:$B,MATCH($F140,참조_스케일목록!$A:$A,0))&amp;" ("&amp;INDEX(참조_스케일목록!$C:$C,MATCH($F140,참조_스케일목록!$A:$A,0))&amp;")","※없는 ID")&amp;" / 남 "&amp;IFERROR(INDEX(참조_스케일목록!$B:$B,MATCH($G140,참조_스케일목록!$A:$A,0))&amp;" ("&amp;INDEX(참조_스케일목록!$C:$C,MATCH($G140,참조_스케일목록!$A:$A,0))&amp;")","※없는 ID")))</f>
        <v/>
      </c>
      <c r="I140" s="14"/>
      <c r="J140" s="14"/>
      <c r="K140" s="14"/>
      <c r="L140" s="14"/>
      <c r="M140" s="14"/>
      <c r="N140" s="14"/>
      <c r="O140" s="14"/>
      <c r="P140" s="16"/>
      <c r="Q140" s="13"/>
      <c r="R140" s="18" t="str">
        <f t="shared" si="4"/>
        <v/>
      </c>
    </row>
    <row r="141" spans="1:18" ht="17.25" customHeight="1">
      <c r="A141" s="13"/>
      <c r="B141" s="14"/>
      <c r="C141" s="14"/>
      <c r="D141" s="14"/>
      <c r="E141" s="13"/>
      <c r="F141" s="14"/>
      <c r="G141" s="14"/>
      <c r="H141" s="15" t="str">
        <f>IF($F141="","",IF($G141="",IFERROR(INDEX(참조_스케일목록!$B:$B,MATCH($F141,참조_스케일목록!$A:$A,0))&amp;" ("&amp;INDEX(참조_스케일목록!$C:$C,MATCH($F141,참조_스케일목록!$A:$A,0))&amp;")","※없는 ID"),"여 "&amp;IFERROR(INDEX(참조_스케일목록!$B:$B,MATCH($F141,참조_스케일목록!$A:$A,0))&amp;" ("&amp;INDEX(참조_스케일목록!$C:$C,MATCH($F141,참조_스케일목록!$A:$A,0))&amp;")","※없는 ID")&amp;" / 남 "&amp;IFERROR(INDEX(참조_스케일목록!$B:$B,MATCH($G141,참조_스케일목록!$A:$A,0))&amp;" ("&amp;INDEX(참조_스케일목록!$C:$C,MATCH($G141,참조_스케일목록!$A:$A,0))&amp;")","※없는 ID")))</f>
        <v/>
      </c>
      <c r="I141" s="14"/>
      <c r="J141" s="14"/>
      <c r="K141" s="14"/>
      <c r="L141" s="14"/>
      <c r="M141" s="14"/>
      <c r="N141" s="14"/>
      <c r="O141" s="14"/>
      <c r="P141" s="16"/>
      <c r="Q141" s="13"/>
      <c r="R141" s="18" t="str">
        <f t="shared" si="4"/>
        <v/>
      </c>
    </row>
    <row r="142" spans="1:18" ht="17.25" customHeight="1">
      <c r="A142" s="13"/>
      <c r="B142" s="14"/>
      <c r="C142" s="14"/>
      <c r="D142" s="14"/>
      <c r="E142" s="13"/>
      <c r="F142" s="14"/>
      <c r="G142" s="14"/>
      <c r="H142" s="15" t="str">
        <f>IF($F142="","",IF($G142="",IFERROR(INDEX(참조_스케일목록!$B:$B,MATCH($F142,참조_스케일목록!$A:$A,0))&amp;" ("&amp;INDEX(참조_스케일목록!$C:$C,MATCH($F142,참조_스케일목록!$A:$A,0))&amp;")","※없는 ID"),"여 "&amp;IFERROR(INDEX(참조_스케일목록!$B:$B,MATCH($F142,참조_스케일목록!$A:$A,0))&amp;" ("&amp;INDEX(참조_스케일목록!$C:$C,MATCH($F142,참조_스케일목록!$A:$A,0))&amp;")","※없는 ID")&amp;" / 남 "&amp;IFERROR(INDEX(참조_스케일목록!$B:$B,MATCH($G142,참조_스케일목록!$A:$A,0))&amp;" ("&amp;INDEX(참조_스케일목록!$C:$C,MATCH($G142,참조_스케일목록!$A:$A,0))&amp;")","※없는 ID")))</f>
        <v/>
      </c>
      <c r="I142" s="14"/>
      <c r="J142" s="14"/>
      <c r="K142" s="14"/>
      <c r="L142" s="14"/>
      <c r="M142" s="14"/>
      <c r="N142" s="14"/>
      <c r="O142" s="14"/>
      <c r="P142" s="16"/>
      <c r="Q142" s="13"/>
      <c r="R142" s="18" t="str">
        <f t="shared" si="4"/>
        <v/>
      </c>
    </row>
    <row r="143" spans="1:18" ht="17.25" customHeight="1">
      <c r="A143" s="13"/>
      <c r="B143" s="14"/>
      <c r="C143" s="14"/>
      <c r="D143" s="14"/>
      <c r="E143" s="13"/>
      <c r="F143" s="14"/>
      <c r="G143" s="14"/>
      <c r="H143" s="15" t="str">
        <f>IF($F143="","",IF($G143="",IFERROR(INDEX(참조_스케일목록!$B:$B,MATCH($F143,참조_스케일목록!$A:$A,0))&amp;" ("&amp;INDEX(참조_스케일목록!$C:$C,MATCH($F143,참조_스케일목록!$A:$A,0))&amp;")","※없는 ID"),"여 "&amp;IFERROR(INDEX(참조_스케일목록!$B:$B,MATCH($F143,참조_스케일목록!$A:$A,0))&amp;" ("&amp;INDEX(참조_스케일목록!$C:$C,MATCH($F143,참조_스케일목록!$A:$A,0))&amp;")","※없는 ID")&amp;" / 남 "&amp;IFERROR(INDEX(참조_스케일목록!$B:$B,MATCH($G143,참조_스케일목록!$A:$A,0))&amp;" ("&amp;INDEX(참조_스케일목록!$C:$C,MATCH($G143,참조_스케일목록!$A:$A,0))&amp;")","※없는 ID")))</f>
        <v/>
      </c>
      <c r="I143" s="14"/>
      <c r="J143" s="14"/>
      <c r="K143" s="14"/>
      <c r="L143" s="14"/>
      <c r="M143" s="14"/>
      <c r="N143" s="14"/>
      <c r="O143" s="14"/>
      <c r="P143" s="16"/>
      <c r="Q143" s="13"/>
      <c r="R143" s="18" t="str">
        <f t="shared" si="4"/>
        <v/>
      </c>
    </row>
    <row r="144" spans="1:18" ht="17.25" customHeight="1">
      <c r="A144" s="13"/>
      <c r="B144" s="14"/>
      <c r="C144" s="14"/>
      <c r="D144" s="14"/>
      <c r="E144" s="13"/>
      <c r="F144" s="14"/>
      <c r="G144" s="14"/>
      <c r="H144" s="15" t="str">
        <f>IF($F144="","",IF($G144="",IFERROR(INDEX(참조_스케일목록!$B:$B,MATCH($F144,참조_스케일목록!$A:$A,0))&amp;" ("&amp;INDEX(참조_스케일목록!$C:$C,MATCH($F144,참조_스케일목록!$A:$A,0))&amp;")","※없는 ID"),"여 "&amp;IFERROR(INDEX(참조_스케일목록!$B:$B,MATCH($F144,참조_스케일목록!$A:$A,0))&amp;" ("&amp;INDEX(참조_스케일목록!$C:$C,MATCH($F144,참조_스케일목록!$A:$A,0))&amp;")","※없는 ID")&amp;" / 남 "&amp;IFERROR(INDEX(참조_스케일목록!$B:$B,MATCH($G144,참조_스케일목록!$A:$A,0))&amp;" ("&amp;INDEX(참조_스케일목록!$C:$C,MATCH($G144,참조_스케일목록!$A:$A,0))&amp;")","※없는 ID")))</f>
        <v/>
      </c>
      <c r="I144" s="14"/>
      <c r="J144" s="14"/>
      <c r="K144" s="14"/>
      <c r="L144" s="14"/>
      <c r="M144" s="14"/>
      <c r="N144" s="14"/>
      <c r="O144" s="14"/>
      <c r="P144" s="16"/>
      <c r="Q144" s="13"/>
      <c r="R144" s="18" t="str">
        <f t="shared" si="4"/>
        <v/>
      </c>
    </row>
    <row r="145" spans="1:18" ht="17.25" customHeight="1">
      <c r="A145" s="13"/>
      <c r="B145" s="14"/>
      <c r="C145" s="14"/>
      <c r="D145" s="14"/>
      <c r="E145" s="13"/>
      <c r="F145" s="14"/>
      <c r="G145" s="14"/>
      <c r="H145" s="15" t="str">
        <f>IF($F145="","",IF($G145="",IFERROR(INDEX(참조_스케일목록!$B:$B,MATCH($F145,참조_스케일목록!$A:$A,0))&amp;" ("&amp;INDEX(참조_스케일목록!$C:$C,MATCH($F145,참조_스케일목록!$A:$A,0))&amp;")","※없는 ID"),"여 "&amp;IFERROR(INDEX(참조_스케일목록!$B:$B,MATCH($F145,참조_스케일목록!$A:$A,0))&amp;" ("&amp;INDEX(참조_스케일목록!$C:$C,MATCH($F145,참조_스케일목록!$A:$A,0))&amp;")","※없는 ID")&amp;" / 남 "&amp;IFERROR(INDEX(참조_스케일목록!$B:$B,MATCH($G145,참조_스케일목록!$A:$A,0))&amp;" ("&amp;INDEX(참조_스케일목록!$C:$C,MATCH($G145,참조_스케일목록!$A:$A,0))&amp;")","※없는 ID")))</f>
        <v/>
      </c>
      <c r="I145" s="14"/>
      <c r="J145" s="14"/>
      <c r="K145" s="14"/>
      <c r="L145" s="14"/>
      <c r="M145" s="14"/>
      <c r="N145" s="14"/>
      <c r="O145" s="14"/>
      <c r="P145" s="16"/>
      <c r="Q145" s="13"/>
      <c r="R145" s="18" t="str">
        <f t="shared" si="4"/>
        <v/>
      </c>
    </row>
    <row r="146" spans="1:18" ht="17.25" customHeight="1">
      <c r="A146" s="13"/>
      <c r="B146" s="14"/>
      <c r="C146" s="14"/>
      <c r="D146" s="14"/>
      <c r="E146" s="13"/>
      <c r="F146" s="14"/>
      <c r="G146" s="14"/>
      <c r="H146" s="15" t="str">
        <f>IF($F146="","",IF($G146="",IFERROR(INDEX(참조_스케일목록!$B:$B,MATCH($F146,참조_스케일목록!$A:$A,0))&amp;" ("&amp;INDEX(참조_스케일목록!$C:$C,MATCH($F146,참조_스케일목록!$A:$A,0))&amp;")","※없는 ID"),"여 "&amp;IFERROR(INDEX(참조_스케일목록!$B:$B,MATCH($F146,참조_스케일목록!$A:$A,0))&amp;" ("&amp;INDEX(참조_스케일목록!$C:$C,MATCH($F146,참조_스케일목록!$A:$A,0))&amp;")","※없는 ID")&amp;" / 남 "&amp;IFERROR(INDEX(참조_스케일목록!$B:$B,MATCH($G146,참조_스케일목록!$A:$A,0))&amp;" ("&amp;INDEX(참조_스케일목록!$C:$C,MATCH($G146,참조_스케일목록!$A:$A,0))&amp;")","※없는 ID")))</f>
        <v/>
      </c>
      <c r="I146" s="14"/>
      <c r="J146" s="14"/>
      <c r="K146" s="14"/>
      <c r="L146" s="14"/>
      <c r="M146" s="14"/>
      <c r="N146" s="14"/>
      <c r="O146" s="14"/>
      <c r="P146" s="16"/>
      <c r="Q146" s="13"/>
      <c r="R146" s="18" t="str">
        <f t="shared" si="4"/>
        <v/>
      </c>
    </row>
    <row r="147" spans="1:18" ht="17.25" customHeight="1">
      <c r="A147" s="13"/>
      <c r="B147" s="14"/>
      <c r="C147" s="14"/>
      <c r="D147" s="14"/>
      <c r="E147" s="13"/>
      <c r="F147" s="14"/>
      <c r="G147" s="14"/>
      <c r="H147" s="15" t="str">
        <f>IF($F147="","",IF($G147="",IFERROR(INDEX(참조_스케일목록!$B:$B,MATCH($F147,참조_스케일목록!$A:$A,0))&amp;" ("&amp;INDEX(참조_스케일목록!$C:$C,MATCH($F147,참조_스케일목록!$A:$A,0))&amp;")","※없는 ID"),"여 "&amp;IFERROR(INDEX(참조_스케일목록!$B:$B,MATCH($F147,참조_스케일목록!$A:$A,0))&amp;" ("&amp;INDEX(참조_스케일목록!$C:$C,MATCH($F147,참조_스케일목록!$A:$A,0))&amp;")","※없는 ID")&amp;" / 남 "&amp;IFERROR(INDEX(참조_스케일목록!$B:$B,MATCH($G147,참조_스케일목록!$A:$A,0))&amp;" ("&amp;INDEX(참조_스케일목록!$C:$C,MATCH($G147,참조_스케일목록!$A:$A,0))&amp;")","※없는 ID")))</f>
        <v/>
      </c>
      <c r="I147" s="14"/>
      <c r="J147" s="14"/>
      <c r="K147" s="14"/>
      <c r="L147" s="14"/>
      <c r="M147" s="14"/>
      <c r="N147" s="14"/>
      <c r="O147" s="14"/>
      <c r="P147" s="16"/>
      <c r="Q147" s="13"/>
      <c r="R147" s="18" t="str">
        <f t="shared" si="4"/>
        <v/>
      </c>
    </row>
    <row r="148" spans="1:18" ht="17.25" customHeight="1">
      <c r="A148" s="13"/>
      <c r="B148" s="14"/>
      <c r="C148" s="14"/>
      <c r="D148" s="14"/>
      <c r="E148" s="13"/>
      <c r="F148" s="14"/>
      <c r="G148" s="14"/>
      <c r="H148" s="15" t="str">
        <f>IF($F148="","",IF($G148="",IFERROR(INDEX(참조_스케일목록!$B:$B,MATCH($F148,참조_스케일목록!$A:$A,0))&amp;" ("&amp;INDEX(참조_스케일목록!$C:$C,MATCH($F148,참조_스케일목록!$A:$A,0))&amp;")","※없는 ID"),"여 "&amp;IFERROR(INDEX(참조_스케일목록!$B:$B,MATCH($F148,참조_스케일목록!$A:$A,0))&amp;" ("&amp;INDEX(참조_스케일목록!$C:$C,MATCH($F148,참조_스케일목록!$A:$A,0))&amp;")","※없는 ID")&amp;" / 남 "&amp;IFERROR(INDEX(참조_스케일목록!$B:$B,MATCH($G148,참조_스케일목록!$A:$A,0))&amp;" ("&amp;INDEX(참조_스케일목록!$C:$C,MATCH($G148,참조_스케일목록!$A:$A,0))&amp;")","※없는 ID")))</f>
        <v/>
      </c>
      <c r="I148" s="14"/>
      <c r="J148" s="14"/>
      <c r="K148" s="14"/>
      <c r="L148" s="14"/>
      <c r="M148" s="14"/>
      <c r="N148" s="14"/>
      <c r="O148" s="14"/>
      <c r="P148" s="16"/>
      <c r="Q148" s="13"/>
      <c r="R148" s="18" t="str">
        <f t="shared" si="4"/>
        <v/>
      </c>
    </row>
    <row r="149" spans="1:18" ht="17.25" customHeight="1">
      <c r="A149" s="13"/>
      <c r="B149" s="14"/>
      <c r="C149" s="14"/>
      <c r="D149" s="14"/>
      <c r="E149" s="13"/>
      <c r="F149" s="14"/>
      <c r="G149" s="14"/>
      <c r="H149" s="15" t="str">
        <f>IF($F149="","",IF($G149="",IFERROR(INDEX(참조_스케일목록!$B:$B,MATCH($F149,참조_스케일목록!$A:$A,0))&amp;" ("&amp;INDEX(참조_스케일목록!$C:$C,MATCH($F149,참조_스케일목록!$A:$A,0))&amp;")","※없는 ID"),"여 "&amp;IFERROR(INDEX(참조_스케일목록!$B:$B,MATCH($F149,참조_스케일목록!$A:$A,0))&amp;" ("&amp;INDEX(참조_스케일목록!$C:$C,MATCH($F149,참조_스케일목록!$A:$A,0))&amp;")","※없는 ID")&amp;" / 남 "&amp;IFERROR(INDEX(참조_스케일목록!$B:$B,MATCH($G149,참조_스케일목록!$A:$A,0))&amp;" ("&amp;INDEX(참조_스케일목록!$C:$C,MATCH($G149,참조_스케일목록!$A:$A,0))&amp;")","※없는 ID")))</f>
        <v/>
      </c>
      <c r="I149" s="14"/>
      <c r="J149" s="14"/>
      <c r="K149" s="14"/>
      <c r="L149" s="14"/>
      <c r="M149" s="14"/>
      <c r="N149" s="14"/>
      <c r="O149" s="14"/>
      <c r="P149" s="16"/>
      <c r="Q149" s="13"/>
      <c r="R149" s="18" t="str">
        <f t="shared" si="4"/>
        <v/>
      </c>
    </row>
    <row r="150" spans="1:18" ht="17.25" customHeight="1">
      <c r="A150" s="13"/>
      <c r="B150" s="14"/>
      <c r="C150" s="14"/>
      <c r="D150" s="14"/>
      <c r="E150" s="13"/>
      <c r="F150" s="14"/>
      <c r="G150" s="14"/>
      <c r="H150" s="15" t="str">
        <f>IF($F150="","",IF($G150="",IFERROR(INDEX(참조_스케일목록!$B:$B,MATCH($F150,참조_스케일목록!$A:$A,0))&amp;" ("&amp;INDEX(참조_스케일목록!$C:$C,MATCH($F150,참조_스케일목록!$A:$A,0))&amp;")","※없는 ID"),"여 "&amp;IFERROR(INDEX(참조_스케일목록!$B:$B,MATCH($F150,참조_스케일목록!$A:$A,0))&amp;" ("&amp;INDEX(참조_스케일목록!$C:$C,MATCH($F150,참조_스케일목록!$A:$A,0))&amp;")","※없는 ID")&amp;" / 남 "&amp;IFERROR(INDEX(참조_스케일목록!$B:$B,MATCH($G150,참조_스케일목록!$A:$A,0))&amp;" ("&amp;INDEX(참조_스케일목록!$C:$C,MATCH($G150,참조_스케일목록!$A:$A,0))&amp;")","※없는 ID")))</f>
        <v/>
      </c>
      <c r="I150" s="14"/>
      <c r="J150" s="14"/>
      <c r="K150" s="14"/>
      <c r="L150" s="14"/>
      <c r="M150" s="14"/>
      <c r="N150" s="14"/>
      <c r="O150" s="14"/>
      <c r="P150" s="16"/>
      <c r="Q150" s="13"/>
      <c r="R150" s="18" t="str">
        <f t="shared" si="4"/>
        <v/>
      </c>
    </row>
    <row r="151" spans="1:18" ht="17.25" customHeight="1">
      <c r="A151" s="13"/>
      <c r="B151" s="14"/>
      <c r="C151" s="14"/>
      <c r="D151" s="14"/>
      <c r="E151" s="13"/>
      <c r="F151" s="14"/>
      <c r="G151" s="14"/>
      <c r="H151" s="15" t="str">
        <f>IF($F151="","",IF($G151="",IFERROR(INDEX(참조_스케일목록!$B:$B,MATCH($F151,참조_스케일목록!$A:$A,0))&amp;" ("&amp;INDEX(참조_스케일목록!$C:$C,MATCH($F151,참조_스케일목록!$A:$A,0))&amp;")","※없는 ID"),"여 "&amp;IFERROR(INDEX(참조_스케일목록!$B:$B,MATCH($F151,참조_스케일목록!$A:$A,0))&amp;" ("&amp;INDEX(참조_스케일목록!$C:$C,MATCH($F151,참조_스케일목록!$A:$A,0))&amp;")","※없는 ID")&amp;" / 남 "&amp;IFERROR(INDEX(참조_스케일목록!$B:$B,MATCH($G151,참조_스케일목록!$A:$A,0))&amp;" ("&amp;INDEX(참조_스케일목록!$C:$C,MATCH($G151,참조_스케일목록!$A:$A,0))&amp;")","※없는 ID")))</f>
        <v/>
      </c>
      <c r="I151" s="14"/>
      <c r="J151" s="14"/>
      <c r="K151" s="14"/>
      <c r="L151" s="14"/>
      <c r="M151" s="14"/>
      <c r="N151" s="14"/>
      <c r="O151" s="14"/>
      <c r="P151" s="16"/>
      <c r="Q151" s="13"/>
      <c r="R151" s="18" t="str">
        <f t="shared" si="4"/>
        <v/>
      </c>
    </row>
    <row r="152" spans="1:18" ht="17.25" customHeight="1">
      <c r="A152" s="13"/>
      <c r="B152" s="14"/>
      <c r="C152" s="14"/>
      <c r="D152" s="14"/>
      <c r="E152" s="13"/>
      <c r="F152" s="14"/>
      <c r="G152" s="14"/>
      <c r="H152" s="15" t="str">
        <f>IF($F152="","",IF($G152="",IFERROR(INDEX(참조_스케일목록!$B:$B,MATCH($F152,참조_스케일목록!$A:$A,0))&amp;" ("&amp;INDEX(참조_스케일목록!$C:$C,MATCH($F152,참조_스케일목록!$A:$A,0))&amp;")","※없는 ID"),"여 "&amp;IFERROR(INDEX(참조_스케일목록!$B:$B,MATCH($F152,참조_스케일목록!$A:$A,0))&amp;" ("&amp;INDEX(참조_스케일목록!$C:$C,MATCH($F152,참조_스케일목록!$A:$A,0))&amp;")","※없는 ID")&amp;" / 남 "&amp;IFERROR(INDEX(참조_스케일목록!$B:$B,MATCH($G152,참조_스케일목록!$A:$A,0))&amp;" ("&amp;INDEX(참조_스케일목록!$C:$C,MATCH($G152,참조_스케일목록!$A:$A,0))&amp;")","※없는 ID")))</f>
        <v/>
      </c>
      <c r="I152" s="14"/>
      <c r="J152" s="14"/>
      <c r="K152" s="14"/>
      <c r="L152" s="14"/>
      <c r="M152" s="14"/>
      <c r="N152" s="14"/>
      <c r="O152" s="14"/>
      <c r="P152" s="16"/>
      <c r="Q152" s="13"/>
      <c r="R152" s="18" t="str">
        <f t="shared" si="4"/>
        <v/>
      </c>
    </row>
    <row r="153" spans="1:18" ht="17.25" customHeight="1">
      <c r="A153" s="13"/>
      <c r="B153" s="14"/>
      <c r="C153" s="14"/>
      <c r="D153" s="14"/>
      <c r="E153" s="13"/>
      <c r="F153" s="14"/>
      <c r="G153" s="14"/>
      <c r="H153" s="15" t="str">
        <f>IF($F153="","",IF($G153="",IFERROR(INDEX(참조_스케일목록!$B:$B,MATCH($F153,참조_스케일목록!$A:$A,0))&amp;" ("&amp;INDEX(참조_스케일목록!$C:$C,MATCH($F153,참조_스케일목록!$A:$A,0))&amp;")","※없는 ID"),"여 "&amp;IFERROR(INDEX(참조_스케일목록!$B:$B,MATCH($F153,참조_스케일목록!$A:$A,0))&amp;" ("&amp;INDEX(참조_스케일목록!$C:$C,MATCH($F153,참조_스케일목록!$A:$A,0))&amp;")","※없는 ID")&amp;" / 남 "&amp;IFERROR(INDEX(참조_스케일목록!$B:$B,MATCH($G153,참조_스케일목록!$A:$A,0))&amp;" ("&amp;INDEX(참조_스케일목록!$C:$C,MATCH($G153,참조_스케일목록!$A:$A,0))&amp;")","※없는 ID")))</f>
        <v/>
      </c>
      <c r="I153" s="14"/>
      <c r="J153" s="14"/>
      <c r="K153" s="14"/>
      <c r="L153" s="14"/>
      <c r="M153" s="14"/>
      <c r="N153" s="14"/>
      <c r="O153" s="14"/>
      <c r="P153" s="16"/>
      <c r="Q153" s="13"/>
      <c r="R153" s="18" t="str">
        <f t="shared" si="4"/>
        <v/>
      </c>
    </row>
    <row r="154" spans="1:18" ht="17.25" customHeight="1">
      <c r="A154" s="13"/>
      <c r="B154" s="14"/>
      <c r="C154" s="14"/>
      <c r="D154" s="14"/>
      <c r="E154" s="13"/>
      <c r="F154" s="14"/>
      <c r="G154" s="14"/>
      <c r="H154" s="15" t="str">
        <f>IF($F154="","",IF($G154="",IFERROR(INDEX(참조_스케일목록!$B:$B,MATCH($F154,참조_스케일목록!$A:$A,0))&amp;" ("&amp;INDEX(참조_스케일목록!$C:$C,MATCH($F154,참조_스케일목록!$A:$A,0))&amp;")","※없는 ID"),"여 "&amp;IFERROR(INDEX(참조_스케일목록!$B:$B,MATCH($F154,참조_스케일목록!$A:$A,0))&amp;" ("&amp;INDEX(참조_스케일목록!$C:$C,MATCH($F154,참조_스케일목록!$A:$A,0))&amp;")","※없는 ID")&amp;" / 남 "&amp;IFERROR(INDEX(참조_스케일목록!$B:$B,MATCH($G154,참조_스케일목록!$A:$A,0))&amp;" ("&amp;INDEX(참조_스케일목록!$C:$C,MATCH($G154,참조_스케일목록!$A:$A,0))&amp;")","※없는 ID")))</f>
        <v/>
      </c>
      <c r="I154" s="14"/>
      <c r="J154" s="14"/>
      <c r="K154" s="14"/>
      <c r="L154" s="14"/>
      <c r="M154" s="14"/>
      <c r="N154" s="14"/>
      <c r="O154" s="14"/>
      <c r="P154" s="16"/>
      <c r="Q154" s="13"/>
      <c r="R154" s="18" t="str">
        <f t="shared" si="4"/>
        <v/>
      </c>
    </row>
    <row r="155" spans="1:18" ht="17.25" customHeight="1">
      <c r="A155" s="13"/>
      <c r="B155" s="14"/>
      <c r="C155" s="14"/>
      <c r="D155" s="14"/>
      <c r="E155" s="13"/>
      <c r="F155" s="14"/>
      <c r="G155" s="14"/>
      <c r="H155" s="15" t="str">
        <f>IF($F155="","",IF($G155="",IFERROR(INDEX(참조_스케일목록!$B:$B,MATCH($F155,참조_스케일목록!$A:$A,0))&amp;" ("&amp;INDEX(참조_스케일목록!$C:$C,MATCH($F155,참조_스케일목록!$A:$A,0))&amp;")","※없는 ID"),"여 "&amp;IFERROR(INDEX(참조_스케일목록!$B:$B,MATCH($F155,참조_스케일목록!$A:$A,0))&amp;" ("&amp;INDEX(참조_스케일목록!$C:$C,MATCH($F155,참조_스케일목록!$A:$A,0))&amp;")","※없는 ID")&amp;" / 남 "&amp;IFERROR(INDEX(참조_스케일목록!$B:$B,MATCH($G155,참조_스케일목록!$A:$A,0))&amp;" ("&amp;INDEX(참조_스케일목록!$C:$C,MATCH($G155,참조_스케일목록!$A:$A,0))&amp;")","※없는 ID")))</f>
        <v/>
      </c>
      <c r="I155" s="14"/>
      <c r="J155" s="14"/>
      <c r="K155" s="14"/>
      <c r="L155" s="14"/>
      <c r="M155" s="14"/>
      <c r="N155" s="14"/>
      <c r="O155" s="14"/>
      <c r="P155" s="16"/>
      <c r="Q155" s="13"/>
      <c r="R155" s="18" t="str">
        <f t="shared" si="4"/>
        <v/>
      </c>
    </row>
    <row r="156" spans="1:18" ht="17.25" customHeight="1">
      <c r="A156" s="13"/>
      <c r="B156" s="14"/>
      <c r="C156" s="14"/>
      <c r="D156" s="14"/>
      <c r="E156" s="13"/>
      <c r="F156" s="14"/>
      <c r="G156" s="14"/>
      <c r="H156" s="15" t="str">
        <f>IF($F156="","",IF($G156="",IFERROR(INDEX(참조_스케일목록!$B:$B,MATCH($F156,참조_스케일목록!$A:$A,0))&amp;" ("&amp;INDEX(참조_스케일목록!$C:$C,MATCH($F156,참조_스케일목록!$A:$A,0))&amp;")","※없는 ID"),"여 "&amp;IFERROR(INDEX(참조_스케일목록!$B:$B,MATCH($F156,참조_스케일목록!$A:$A,0))&amp;" ("&amp;INDEX(참조_스케일목록!$C:$C,MATCH($F156,참조_스케일목록!$A:$A,0))&amp;")","※없는 ID")&amp;" / 남 "&amp;IFERROR(INDEX(참조_스케일목록!$B:$B,MATCH($G156,참조_스케일목록!$A:$A,0))&amp;" ("&amp;INDEX(참조_스케일목록!$C:$C,MATCH($G156,참조_스케일목록!$A:$A,0))&amp;")","※없는 ID")))</f>
        <v/>
      </c>
      <c r="I156" s="14"/>
      <c r="J156" s="14"/>
      <c r="K156" s="14"/>
      <c r="L156" s="14"/>
      <c r="M156" s="14"/>
      <c r="N156" s="14"/>
      <c r="O156" s="14"/>
      <c r="P156" s="16"/>
      <c r="Q156" s="13"/>
      <c r="R156" s="18" t="str">
        <f t="shared" si="4"/>
        <v/>
      </c>
    </row>
    <row r="157" spans="1:18" ht="17.25" customHeight="1">
      <c r="A157" s="13"/>
      <c r="B157" s="14"/>
      <c r="C157" s="14"/>
      <c r="D157" s="14"/>
      <c r="E157" s="13"/>
      <c r="F157" s="14"/>
      <c r="G157" s="14"/>
      <c r="H157" s="15" t="str">
        <f>IF($F157="","",IF($G157="",IFERROR(INDEX(참조_스케일목록!$B:$B,MATCH($F157,참조_스케일목록!$A:$A,0))&amp;" ("&amp;INDEX(참조_스케일목록!$C:$C,MATCH($F157,참조_스케일목록!$A:$A,0))&amp;")","※없는 ID"),"여 "&amp;IFERROR(INDEX(참조_스케일목록!$B:$B,MATCH($F157,참조_스케일목록!$A:$A,0))&amp;" ("&amp;INDEX(참조_스케일목록!$C:$C,MATCH($F157,참조_스케일목록!$A:$A,0))&amp;")","※없는 ID")&amp;" / 남 "&amp;IFERROR(INDEX(참조_스케일목록!$B:$B,MATCH($G157,참조_스케일목록!$A:$A,0))&amp;" ("&amp;INDEX(참조_스케일목록!$C:$C,MATCH($G157,참조_스케일목록!$A:$A,0))&amp;")","※없는 ID")))</f>
        <v/>
      </c>
      <c r="I157" s="14"/>
      <c r="J157" s="14"/>
      <c r="K157" s="14"/>
      <c r="L157" s="14"/>
      <c r="M157" s="14"/>
      <c r="N157" s="14"/>
      <c r="O157" s="14"/>
      <c r="P157" s="16"/>
      <c r="Q157" s="13"/>
      <c r="R157" s="18" t="str">
        <f t="shared" si="4"/>
        <v/>
      </c>
    </row>
    <row r="158" spans="1:18" ht="17.25" customHeight="1">
      <c r="A158" s="13"/>
      <c r="B158" s="14"/>
      <c r="C158" s="14"/>
      <c r="D158" s="14"/>
      <c r="E158" s="13"/>
      <c r="F158" s="14"/>
      <c r="G158" s="14"/>
      <c r="H158" s="15" t="str">
        <f>IF($F158="","",IF($G158="",IFERROR(INDEX(참조_스케일목록!$B:$B,MATCH($F158,참조_스케일목록!$A:$A,0))&amp;" ("&amp;INDEX(참조_스케일목록!$C:$C,MATCH($F158,참조_스케일목록!$A:$A,0))&amp;")","※없는 ID"),"여 "&amp;IFERROR(INDEX(참조_스케일목록!$B:$B,MATCH($F158,참조_스케일목록!$A:$A,0))&amp;" ("&amp;INDEX(참조_스케일목록!$C:$C,MATCH($F158,참조_스케일목록!$A:$A,0))&amp;")","※없는 ID")&amp;" / 남 "&amp;IFERROR(INDEX(참조_스케일목록!$B:$B,MATCH($G158,참조_스케일목록!$A:$A,0))&amp;" ("&amp;INDEX(참조_스케일목록!$C:$C,MATCH($G158,참조_스케일목록!$A:$A,0))&amp;")","※없는 ID")))</f>
        <v/>
      </c>
      <c r="I158" s="14"/>
      <c r="J158" s="14"/>
      <c r="K158" s="14"/>
      <c r="L158" s="14"/>
      <c r="M158" s="14"/>
      <c r="N158" s="14"/>
      <c r="O158" s="14"/>
      <c r="P158" s="16"/>
      <c r="Q158" s="13"/>
      <c r="R158" s="18" t="str">
        <f t="shared" si="4"/>
        <v/>
      </c>
    </row>
    <row r="159" spans="1:18" ht="17.25" customHeight="1">
      <c r="A159" s="13"/>
      <c r="B159" s="14"/>
      <c r="C159" s="14"/>
      <c r="D159" s="14"/>
      <c r="E159" s="13"/>
      <c r="F159" s="14"/>
      <c r="G159" s="14"/>
      <c r="H159" s="15" t="str">
        <f>IF($F159="","",IF($G159="",IFERROR(INDEX(참조_스케일목록!$B:$B,MATCH($F159,참조_스케일목록!$A:$A,0))&amp;" ("&amp;INDEX(참조_스케일목록!$C:$C,MATCH($F159,참조_스케일목록!$A:$A,0))&amp;")","※없는 ID"),"여 "&amp;IFERROR(INDEX(참조_스케일목록!$B:$B,MATCH($F159,참조_스케일목록!$A:$A,0))&amp;" ("&amp;INDEX(참조_스케일목록!$C:$C,MATCH($F159,참조_스케일목록!$A:$A,0))&amp;")","※없는 ID")&amp;" / 남 "&amp;IFERROR(INDEX(참조_스케일목록!$B:$B,MATCH($G159,참조_스케일목록!$A:$A,0))&amp;" ("&amp;INDEX(참조_스케일목록!$C:$C,MATCH($G159,참조_스케일목록!$A:$A,0))&amp;")","※없는 ID")))</f>
        <v/>
      </c>
      <c r="I159" s="14"/>
      <c r="J159" s="14"/>
      <c r="K159" s="14"/>
      <c r="L159" s="14"/>
      <c r="M159" s="14"/>
      <c r="N159" s="14"/>
      <c r="O159" s="14"/>
      <c r="P159" s="16"/>
      <c r="Q159" s="13"/>
      <c r="R159" s="18" t="str">
        <f t="shared" si="4"/>
        <v/>
      </c>
    </row>
    <row r="160" spans="1:18" ht="17.25" customHeight="1">
      <c r="A160" s="13"/>
      <c r="B160" s="14"/>
      <c r="C160" s="14"/>
      <c r="D160" s="14"/>
      <c r="E160" s="13"/>
      <c r="F160" s="14"/>
      <c r="G160" s="14"/>
      <c r="H160" s="15" t="str">
        <f>IF($F160="","",IF($G160="",IFERROR(INDEX(참조_스케일목록!$B:$B,MATCH($F160,참조_스케일목록!$A:$A,0))&amp;" ("&amp;INDEX(참조_스케일목록!$C:$C,MATCH($F160,참조_스케일목록!$A:$A,0))&amp;")","※없는 ID"),"여 "&amp;IFERROR(INDEX(참조_스케일목록!$B:$B,MATCH($F160,참조_스케일목록!$A:$A,0))&amp;" ("&amp;INDEX(참조_스케일목록!$C:$C,MATCH($F160,참조_스케일목록!$A:$A,0))&amp;")","※없는 ID")&amp;" / 남 "&amp;IFERROR(INDEX(참조_스케일목록!$B:$B,MATCH($G160,참조_스케일목록!$A:$A,0))&amp;" ("&amp;INDEX(참조_스케일목록!$C:$C,MATCH($G160,참조_스케일목록!$A:$A,0))&amp;")","※없는 ID")))</f>
        <v/>
      </c>
      <c r="I160" s="14"/>
      <c r="J160" s="14"/>
      <c r="K160" s="14"/>
      <c r="L160" s="14"/>
      <c r="M160" s="14"/>
      <c r="N160" s="14"/>
      <c r="O160" s="14"/>
      <c r="P160" s="16"/>
      <c r="Q160" s="13"/>
      <c r="R160" s="18" t="str">
        <f t="shared" si="4"/>
        <v/>
      </c>
    </row>
    <row r="161" spans="1:18" ht="17.25" customHeight="1">
      <c r="A161" s="13"/>
      <c r="B161" s="14"/>
      <c r="C161" s="14"/>
      <c r="D161" s="14"/>
      <c r="E161" s="13"/>
      <c r="F161" s="14"/>
      <c r="G161" s="14"/>
      <c r="H161" s="15" t="str">
        <f>IF($F161="","",IF($G161="",IFERROR(INDEX(참조_스케일목록!$B:$B,MATCH($F161,참조_스케일목록!$A:$A,0))&amp;" ("&amp;INDEX(참조_스케일목록!$C:$C,MATCH($F161,참조_스케일목록!$A:$A,0))&amp;")","※없는 ID"),"여 "&amp;IFERROR(INDEX(참조_스케일목록!$B:$B,MATCH($F161,참조_스케일목록!$A:$A,0))&amp;" ("&amp;INDEX(참조_스케일목록!$C:$C,MATCH($F161,참조_스케일목록!$A:$A,0))&amp;")","※없는 ID")&amp;" / 남 "&amp;IFERROR(INDEX(참조_스케일목록!$B:$B,MATCH($G161,참조_스케일목록!$A:$A,0))&amp;" ("&amp;INDEX(참조_스케일목록!$C:$C,MATCH($G161,참조_스케일목록!$A:$A,0))&amp;")","※없는 ID")))</f>
        <v/>
      </c>
      <c r="I161" s="14"/>
      <c r="J161" s="14"/>
      <c r="K161" s="14"/>
      <c r="L161" s="14"/>
      <c r="M161" s="14"/>
      <c r="N161" s="14"/>
      <c r="O161" s="14"/>
      <c r="P161" s="16"/>
      <c r="Q161" s="13"/>
      <c r="R161" s="18" t="str">
        <f t="shared" si="4"/>
        <v/>
      </c>
    </row>
    <row r="162" spans="1:18" ht="17.25" customHeight="1">
      <c r="A162" s="13"/>
      <c r="B162" s="14"/>
      <c r="C162" s="14"/>
      <c r="D162" s="14"/>
      <c r="E162" s="13"/>
      <c r="F162" s="14"/>
      <c r="G162" s="14"/>
      <c r="H162" s="15" t="str">
        <f>IF($F162="","",IF($G162="",IFERROR(INDEX(참조_스케일목록!$B:$B,MATCH($F162,참조_스케일목록!$A:$A,0))&amp;" ("&amp;INDEX(참조_스케일목록!$C:$C,MATCH($F162,참조_스케일목록!$A:$A,0))&amp;")","※없는 ID"),"여 "&amp;IFERROR(INDEX(참조_스케일목록!$B:$B,MATCH($F162,참조_스케일목록!$A:$A,0))&amp;" ("&amp;INDEX(참조_스케일목록!$C:$C,MATCH($F162,참조_스케일목록!$A:$A,0))&amp;")","※없는 ID")&amp;" / 남 "&amp;IFERROR(INDEX(참조_스케일목록!$B:$B,MATCH($G162,참조_스케일목록!$A:$A,0))&amp;" ("&amp;INDEX(참조_스케일목록!$C:$C,MATCH($G162,참조_스케일목록!$A:$A,0))&amp;")","※없는 ID")))</f>
        <v/>
      </c>
      <c r="I162" s="14"/>
      <c r="J162" s="14"/>
      <c r="K162" s="14"/>
      <c r="L162" s="14"/>
      <c r="M162" s="14"/>
      <c r="N162" s="14"/>
      <c r="O162" s="14"/>
      <c r="P162" s="16"/>
      <c r="Q162" s="13"/>
      <c r="R162" s="18" t="str">
        <f t="shared" si="4"/>
        <v/>
      </c>
    </row>
    <row r="163" spans="1:18" ht="17.25" customHeight="1">
      <c r="A163" s="13"/>
      <c r="B163" s="14"/>
      <c r="C163" s="14"/>
      <c r="D163" s="14"/>
      <c r="E163" s="13"/>
      <c r="F163" s="14"/>
      <c r="G163" s="14"/>
      <c r="H163" s="15" t="str">
        <f>IF($F163="","",IF($G163="",IFERROR(INDEX(참조_스케일목록!$B:$B,MATCH($F163,참조_스케일목록!$A:$A,0))&amp;" ("&amp;INDEX(참조_스케일목록!$C:$C,MATCH($F163,참조_스케일목록!$A:$A,0))&amp;")","※없는 ID"),"여 "&amp;IFERROR(INDEX(참조_스케일목록!$B:$B,MATCH($F163,참조_스케일목록!$A:$A,0))&amp;" ("&amp;INDEX(참조_스케일목록!$C:$C,MATCH($F163,참조_스케일목록!$A:$A,0))&amp;")","※없는 ID")&amp;" / 남 "&amp;IFERROR(INDEX(참조_스케일목록!$B:$B,MATCH($G163,참조_스케일목록!$A:$A,0))&amp;" ("&amp;INDEX(참조_스케일목록!$C:$C,MATCH($G163,참조_스케일목록!$A:$A,0))&amp;")","※없는 ID")))</f>
        <v/>
      </c>
      <c r="I163" s="14"/>
      <c r="J163" s="14"/>
      <c r="K163" s="14"/>
      <c r="L163" s="14"/>
      <c r="M163" s="14"/>
      <c r="N163" s="14"/>
      <c r="O163" s="14"/>
      <c r="P163" s="16"/>
      <c r="Q163" s="13"/>
      <c r="R163" s="18" t="str">
        <f t="shared" ref="R163:R170" si="5">IF($A163="","",IF(AND($C163&lt;&gt;"",OR($C163&lt;1,$C163&gt;5,MOD($C163*2,1)&lt;&gt;0)),"자리는 1~5 (0.5단위)",IF(COUNTIFS($A$3:$A$170,$A163,$B$3:$B$170,$B163,$C$3:$C$170,$C163)&gt;1,"같은 자리 중복",IF($D163="","스킬ID 비었음",IF(COUNTIF($D$3:$D$170,$D163)&gt;1,"스킬ID 중복",IF(AND($G163&lt;&gt;"",$F163=""),"여 스케일도 필요",IF(AND($K163&lt;&gt;"",ISNA(MATCH($K163,$D$3:$D$170,0))),"선행스킬1 없음",IF(AND($L163&lt;&gt;"",ISNA(MATCH($L163,$D$3:$D$170,0))),"선행스킬2 없음",IF(AND($N163&lt;&gt;"",ISNA(MATCH($N163,$D$3:$D$170,0))),"타계열선행 없음","OK")))))))))</f>
        <v/>
      </c>
    </row>
    <row r="164" spans="1:18" ht="17.25" customHeight="1">
      <c r="A164" s="13"/>
      <c r="B164" s="14"/>
      <c r="C164" s="14"/>
      <c r="D164" s="14"/>
      <c r="E164" s="13"/>
      <c r="F164" s="14"/>
      <c r="G164" s="14"/>
      <c r="H164" s="15" t="str">
        <f>IF($F164="","",IF($G164="",IFERROR(INDEX(참조_스케일목록!$B:$B,MATCH($F164,참조_스케일목록!$A:$A,0))&amp;" ("&amp;INDEX(참조_스케일목록!$C:$C,MATCH($F164,참조_스케일목록!$A:$A,0))&amp;")","※없는 ID"),"여 "&amp;IFERROR(INDEX(참조_스케일목록!$B:$B,MATCH($F164,참조_스케일목록!$A:$A,0))&amp;" ("&amp;INDEX(참조_스케일목록!$C:$C,MATCH($F164,참조_스케일목록!$A:$A,0))&amp;")","※없는 ID")&amp;" / 남 "&amp;IFERROR(INDEX(참조_스케일목록!$B:$B,MATCH($G164,참조_스케일목록!$A:$A,0))&amp;" ("&amp;INDEX(참조_스케일목록!$C:$C,MATCH($G164,참조_스케일목록!$A:$A,0))&amp;")","※없는 ID")))</f>
        <v/>
      </c>
      <c r="I164" s="14"/>
      <c r="J164" s="14"/>
      <c r="K164" s="14"/>
      <c r="L164" s="14"/>
      <c r="M164" s="14"/>
      <c r="N164" s="14"/>
      <c r="O164" s="14"/>
      <c r="P164" s="16"/>
      <c r="Q164" s="13"/>
      <c r="R164" s="18" t="str">
        <f t="shared" si="5"/>
        <v/>
      </c>
    </row>
    <row r="165" spans="1:18" ht="17.25" customHeight="1">
      <c r="A165" s="13"/>
      <c r="B165" s="14"/>
      <c r="C165" s="14"/>
      <c r="D165" s="14"/>
      <c r="E165" s="13"/>
      <c r="F165" s="14"/>
      <c r="G165" s="14"/>
      <c r="H165" s="15" t="str">
        <f>IF($F165="","",IF($G165="",IFERROR(INDEX(참조_스케일목록!$B:$B,MATCH($F165,참조_스케일목록!$A:$A,0))&amp;" ("&amp;INDEX(참조_스케일목록!$C:$C,MATCH($F165,참조_스케일목록!$A:$A,0))&amp;")","※없는 ID"),"여 "&amp;IFERROR(INDEX(참조_스케일목록!$B:$B,MATCH($F165,참조_스케일목록!$A:$A,0))&amp;" ("&amp;INDEX(참조_스케일목록!$C:$C,MATCH($F165,참조_스케일목록!$A:$A,0))&amp;")","※없는 ID")&amp;" / 남 "&amp;IFERROR(INDEX(참조_스케일목록!$B:$B,MATCH($G165,참조_스케일목록!$A:$A,0))&amp;" ("&amp;INDEX(참조_스케일목록!$C:$C,MATCH($G165,참조_스케일목록!$A:$A,0))&amp;")","※없는 ID")))</f>
        <v/>
      </c>
      <c r="I165" s="14"/>
      <c r="J165" s="14"/>
      <c r="K165" s="14"/>
      <c r="L165" s="14"/>
      <c r="M165" s="14"/>
      <c r="N165" s="14"/>
      <c r="O165" s="14"/>
      <c r="P165" s="16"/>
      <c r="Q165" s="13"/>
      <c r="R165" s="18" t="str">
        <f t="shared" si="5"/>
        <v/>
      </c>
    </row>
    <row r="166" spans="1:18" ht="17.25" customHeight="1">
      <c r="A166" s="13"/>
      <c r="B166" s="14"/>
      <c r="C166" s="14"/>
      <c r="D166" s="14"/>
      <c r="E166" s="13"/>
      <c r="F166" s="14"/>
      <c r="G166" s="14"/>
      <c r="H166" s="15" t="str">
        <f>IF($F166="","",IF($G166="",IFERROR(INDEX(참조_스케일목록!$B:$B,MATCH($F166,참조_스케일목록!$A:$A,0))&amp;" ("&amp;INDEX(참조_스케일목록!$C:$C,MATCH($F166,참조_스케일목록!$A:$A,0))&amp;")","※없는 ID"),"여 "&amp;IFERROR(INDEX(참조_스케일목록!$B:$B,MATCH($F166,참조_스케일목록!$A:$A,0))&amp;" ("&amp;INDEX(참조_스케일목록!$C:$C,MATCH($F166,참조_스케일목록!$A:$A,0))&amp;")","※없는 ID")&amp;" / 남 "&amp;IFERROR(INDEX(참조_스케일목록!$B:$B,MATCH($G166,참조_스케일목록!$A:$A,0))&amp;" ("&amp;INDEX(참조_스케일목록!$C:$C,MATCH($G166,참조_스케일목록!$A:$A,0))&amp;")","※없는 ID")))</f>
        <v/>
      </c>
      <c r="I166" s="14"/>
      <c r="J166" s="14"/>
      <c r="K166" s="14"/>
      <c r="L166" s="14"/>
      <c r="M166" s="14"/>
      <c r="N166" s="14"/>
      <c r="O166" s="14"/>
      <c r="P166" s="16"/>
      <c r="Q166" s="13"/>
      <c r="R166" s="18" t="str">
        <f t="shared" si="5"/>
        <v/>
      </c>
    </row>
    <row r="167" spans="1:18" ht="17.25" customHeight="1">
      <c r="A167" s="13"/>
      <c r="B167" s="14"/>
      <c r="C167" s="14"/>
      <c r="D167" s="14"/>
      <c r="E167" s="13"/>
      <c r="F167" s="14"/>
      <c r="G167" s="14"/>
      <c r="H167" s="15" t="str">
        <f>IF($F167="","",IF($G167="",IFERROR(INDEX(참조_스케일목록!$B:$B,MATCH($F167,참조_스케일목록!$A:$A,0))&amp;" ("&amp;INDEX(참조_스케일목록!$C:$C,MATCH($F167,참조_스케일목록!$A:$A,0))&amp;")","※없는 ID"),"여 "&amp;IFERROR(INDEX(참조_스케일목록!$B:$B,MATCH($F167,참조_스케일목록!$A:$A,0))&amp;" ("&amp;INDEX(참조_스케일목록!$C:$C,MATCH($F167,참조_스케일목록!$A:$A,0))&amp;")","※없는 ID")&amp;" / 남 "&amp;IFERROR(INDEX(참조_스케일목록!$B:$B,MATCH($G167,참조_스케일목록!$A:$A,0))&amp;" ("&amp;INDEX(참조_스케일목록!$C:$C,MATCH($G167,참조_스케일목록!$A:$A,0))&amp;")","※없는 ID")))</f>
        <v/>
      </c>
      <c r="I167" s="14"/>
      <c r="J167" s="14"/>
      <c r="K167" s="14"/>
      <c r="L167" s="14"/>
      <c r="M167" s="14"/>
      <c r="N167" s="14"/>
      <c r="O167" s="14"/>
      <c r="P167" s="16"/>
      <c r="Q167" s="13"/>
      <c r="R167" s="18" t="str">
        <f t="shared" si="5"/>
        <v/>
      </c>
    </row>
    <row r="168" spans="1:18" ht="17.25" customHeight="1">
      <c r="A168" s="13"/>
      <c r="B168" s="14"/>
      <c r="C168" s="14"/>
      <c r="D168" s="14"/>
      <c r="E168" s="13"/>
      <c r="F168" s="14"/>
      <c r="G168" s="14"/>
      <c r="H168" s="15" t="str">
        <f>IF($F168="","",IF($G168="",IFERROR(INDEX(참조_스케일목록!$B:$B,MATCH($F168,참조_스케일목록!$A:$A,0))&amp;" ("&amp;INDEX(참조_스케일목록!$C:$C,MATCH($F168,참조_스케일목록!$A:$A,0))&amp;")","※없는 ID"),"여 "&amp;IFERROR(INDEX(참조_스케일목록!$B:$B,MATCH($F168,참조_스케일목록!$A:$A,0))&amp;" ("&amp;INDEX(참조_스케일목록!$C:$C,MATCH($F168,참조_스케일목록!$A:$A,0))&amp;")","※없는 ID")&amp;" / 남 "&amp;IFERROR(INDEX(참조_스케일목록!$B:$B,MATCH($G168,참조_스케일목록!$A:$A,0))&amp;" ("&amp;INDEX(참조_스케일목록!$C:$C,MATCH($G168,참조_스케일목록!$A:$A,0))&amp;")","※없는 ID")))</f>
        <v/>
      </c>
      <c r="I168" s="14"/>
      <c r="J168" s="14"/>
      <c r="K168" s="14"/>
      <c r="L168" s="14"/>
      <c r="M168" s="14"/>
      <c r="N168" s="14"/>
      <c r="O168" s="14"/>
      <c r="P168" s="16"/>
      <c r="Q168" s="13"/>
      <c r="R168" s="18" t="str">
        <f t="shared" si="5"/>
        <v/>
      </c>
    </row>
    <row r="169" spans="1:18" ht="17.25" customHeight="1">
      <c r="A169" s="13"/>
      <c r="B169" s="14"/>
      <c r="C169" s="14"/>
      <c r="D169" s="14"/>
      <c r="E169" s="13"/>
      <c r="F169" s="14"/>
      <c r="G169" s="14"/>
      <c r="H169" s="15" t="str">
        <f>IF($F169="","",IF($G169="",IFERROR(INDEX(참조_스케일목록!$B:$B,MATCH($F169,참조_스케일목록!$A:$A,0))&amp;" ("&amp;INDEX(참조_스케일목록!$C:$C,MATCH($F169,참조_스케일목록!$A:$A,0))&amp;")","※없는 ID"),"여 "&amp;IFERROR(INDEX(참조_스케일목록!$B:$B,MATCH($F169,참조_스케일목록!$A:$A,0))&amp;" ("&amp;INDEX(참조_스케일목록!$C:$C,MATCH($F169,참조_스케일목록!$A:$A,0))&amp;")","※없는 ID")&amp;" / 남 "&amp;IFERROR(INDEX(참조_스케일목록!$B:$B,MATCH($G169,참조_스케일목록!$A:$A,0))&amp;" ("&amp;INDEX(참조_스케일목록!$C:$C,MATCH($G169,참조_스케일목록!$A:$A,0))&amp;")","※없는 ID")))</f>
        <v/>
      </c>
      <c r="I169" s="14"/>
      <c r="J169" s="14"/>
      <c r="K169" s="14"/>
      <c r="L169" s="14"/>
      <c r="M169" s="14"/>
      <c r="N169" s="14"/>
      <c r="O169" s="14"/>
      <c r="P169" s="16"/>
      <c r="Q169" s="13"/>
      <c r="R169" s="18" t="str">
        <f t="shared" si="5"/>
        <v/>
      </c>
    </row>
    <row r="170" spans="1:18" ht="17.25" customHeight="1">
      <c r="A170" s="13"/>
      <c r="B170" s="14"/>
      <c r="C170" s="14"/>
      <c r="D170" s="14"/>
      <c r="E170" s="13"/>
      <c r="F170" s="14"/>
      <c r="G170" s="14"/>
      <c r="H170" s="15" t="str">
        <f>IF($F170="","",IF($G170="",IFERROR(INDEX(참조_스케일목록!$B:$B,MATCH($F170,참조_스케일목록!$A:$A,0))&amp;" ("&amp;INDEX(참조_스케일목록!$C:$C,MATCH($F170,참조_스케일목록!$A:$A,0))&amp;")","※없는 ID"),"여 "&amp;IFERROR(INDEX(참조_스케일목록!$B:$B,MATCH($F170,참조_스케일목록!$A:$A,0))&amp;" ("&amp;INDEX(참조_스케일목록!$C:$C,MATCH($F170,참조_스케일목록!$A:$A,0))&amp;")","※없는 ID")&amp;" / 남 "&amp;IFERROR(INDEX(참조_스케일목록!$B:$B,MATCH($G170,참조_스케일목록!$A:$A,0))&amp;" ("&amp;INDEX(참조_스케일목록!$C:$C,MATCH($G170,참조_스케일목록!$A:$A,0))&amp;")","※없는 ID")))</f>
        <v/>
      </c>
      <c r="I170" s="14"/>
      <c r="J170" s="14"/>
      <c r="K170" s="14"/>
      <c r="L170" s="14"/>
      <c r="M170" s="14"/>
      <c r="N170" s="14"/>
      <c r="O170" s="14"/>
      <c r="P170" s="16"/>
      <c r="Q170" s="13"/>
      <c r="R170" s="18" t="str">
        <f t="shared" si="5"/>
        <v/>
      </c>
    </row>
  </sheetData>
  <mergeCells count="1">
    <mergeCell ref="A1:R1"/>
  </mergeCells>
  <phoneticPr fontId="18" type="noConversion"/>
  <dataValidations count="3">
    <dataValidation type="list" allowBlank="1" sqref="P3:P170" xr:uid="{00000000-0002-0000-0100-000000000000}">
      <formula1>"공개,준비중"</formula1>
      <formula2>0</formula2>
    </dataValidation>
    <dataValidation type="decimal" allowBlank="1" error="자리는 1~5 사이, 0.5 단위 (1, 1.5, 2 …)" sqref="C3:C170" xr:uid="{00000000-0002-0000-0100-000001000000}">
      <formula1>1</formula1>
      <formula2>5</formula2>
    </dataValidation>
    <dataValidation type="whole" allowBlank="1" error="완료최소횟수는 1~99. 비우면 기본 5회." sqref="J3:J170" xr:uid="{00000000-0002-0000-0100-000002000000}">
      <formula1>1</formula1>
      <formula2>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zoomScaleNormal="100" workbookViewId="0">
      <pane ySplit="1" topLeftCell="A2" activePane="bottomLeft" state="frozen"/>
      <selection pane="bottomLeft" activeCell="D35" sqref="D35"/>
    </sheetView>
  </sheetViews>
  <sheetFormatPr defaultColWidth="8.6328125" defaultRowHeight="14.5"/>
  <cols>
    <col min="1" max="1" width="9" customWidth="1"/>
    <col min="2" max="2" width="15" customWidth="1"/>
    <col min="3" max="3" width="10" customWidth="1"/>
    <col min="4" max="4" width="12" customWidth="1"/>
    <col min="5" max="5" width="30" customWidth="1"/>
    <col min="6" max="8" width="26" customWidth="1"/>
    <col min="9" max="9" width="34" customWidth="1"/>
  </cols>
  <sheetData>
    <row r="1" spans="1:9" ht="17.25" customHeight="1">
      <c r="A1" s="23" t="s">
        <v>335</v>
      </c>
      <c r="B1" s="23" t="s">
        <v>336</v>
      </c>
      <c r="C1" s="23" t="s">
        <v>337</v>
      </c>
      <c r="D1" s="23" t="s">
        <v>78</v>
      </c>
      <c r="E1" s="23" t="s">
        <v>338</v>
      </c>
      <c r="F1" s="23" t="s">
        <v>339</v>
      </c>
      <c r="G1" s="23" t="s">
        <v>340</v>
      </c>
      <c r="H1" s="23" t="s">
        <v>341</v>
      </c>
      <c r="I1" s="23" t="s">
        <v>342</v>
      </c>
    </row>
    <row r="2" spans="1:9" ht="17.25" customHeight="1">
      <c r="A2" s="14" t="s">
        <v>343</v>
      </c>
      <c r="B2" s="13" t="s">
        <v>86</v>
      </c>
      <c r="C2" s="17" t="s">
        <v>344</v>
      </c>
      <c r="D2" s="14">
        <v>7</v>
      </c>
      <c r="E2" s="13" t="s">
        <v>345</v>
      </c>
      <c r="F2" s="13" t="s">
        <v>346</v>
      </c>
      <c r="G2" s="13" t="s">
        <v>347</v>
      </c>
      <c r="H2" s="13" t="s">
        <v>348</v>
      </c>
      <c r="I2" s="13" t="s">
        <v>349</v>
      </c>
    </row>
    <row r="3" spans="1:9" ht="17.25" customHeight="1">
      <c r="A3" s="14" t="s">
        <v>350</v>
      </c>
      <c r="B3" s="13" t="s">
        <v>191</v>
      </c>
      <c r="C3" s="17" t="s">
        <v>351</v>
      </c>
      <c r="D3" s="14">
        <v>7</v>
      </c>
      <c r="E3" s="13" t="s">
        <v>352</v>
      </c>
      <c r="F3" s="13" t="s">
        <v>353</v>
      </c>
      <c r="G3" s="13" t="s">
        <v>354</v>
      </c>
      <c r="H3" s="13" t="s">
        <v>355</v>
      </c>
      <c r="I3" s="13" t="s">
        <v>356</v>
      </c>
    </row>
    <row r="4" spans="1:9" ht="17.25" customHeight="1">
      <c r="A4" s="14" t="s">
        <v>357</v>
      </c>
      <c r="B4" s="13" t="s">
        <v>244</v>
      </c>
      <c r="C4" s="17" t="s">
        <v>358</v>
      </c>
      <c r="D4" s="14">
        <v>10</v>
      </c>
      <c r="E4" s="13" t="s">
        <v>359</v>
      </c>
      <c r="F4" s="13" t="s">
        <v>360</v>
      </c>
      <c r="G4" s="13" t="s">
        <v>361</v>
      </c>
      <c r="H4" s="13" t="s">
        <v>362</v>
      </c>
      <c r="I4" s="13" t="s">
        <v>363</v>
      </c>
    </row>
    <row r="5" spans="1:9" ht="17.25" customHeight="1">
      <c r="A5" s="14" t="s">
        <v>364</v>
      </c>
      <c r="B5" s="13" t="s">
        <v>319</v>
      </c>
      <c r="C5" s="17" t="s">
        <v>365</v>
      </c>
      <c r="D5" s="14">
        <v>5</v>
      </c>
      <c r="E5" s="13" t="s">
        <v>366</v>
      </c>
      <c r="F5" s="13" t="s">
        <v>367</v>
      </c>
      <c r="G5" s="13" t="s">
        <v>368</v>
      </c>
      <c r="H5" s="13" t="s">
        <v>369</v>
      </c>
      <c r="I5" s="13" t="s">
        <v>370</v>
      </c>
    </row>
    <row r="7" spans="1:9" ht="15.75" customHeight="1">
      <c r="A7" s="24" t="s">
        <v>371</v>
      </c>
    </row>
  </sheetData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2" customWidth="1"/>
    <col min="2" max="2" width="30" customWidth="1"/>
  </cols>
  <sheetData>
    <row r="1" spans="1:2" ht="17.25" customHeight="1">
      <c r="A1" s="9" t="s">
        <v>64</v>
      </c>
      <c r="B1" s="9" t="s">
        <v>65</v>
      </c>
    </row>
    <row r="2" spans="1:2" ht="17.25" customHeight="1">
      <c r="A2" s="11">
        <v>1</v>
      </c>
      <c r="B2" s="12" t="s">
        <v>85</v>
      </c>
    </row>
    <row r="3" spans="1:2" ht="17.25" customHeight="1">
      <c r="A3" s="11">
        <v>2</v>
      </c>
      <c r="B3" s="12" t="s">
        <v>92</v>
      </c>
    </row>
    <row r="4" spans="1:2" ht="17.25" customHeight="1">
      <c r="A4" s="11">
        <v>3</v>
      </c>
      <c r="B4" s="12" t="s">
        <v>97</v>
      </c>
    </row>
    <row r="5" spans="1:2" ht="17.25" customHeight="1">
      <c r="A5" s="11">
        <v>4</v>
      </c>
      <c r="B5" s="12" t="s">
        <v>102</v>
      </c>
    </row>
    <row r="6" spans="1:2" ht="17.25" customHeight="1">
      <c r="A6" s="11">
        <v>5</v>
      </c>
      <c r="B6" s="12" t="s">
        <v>109</v>
      </c>
    </row>
    <row r="7" spans="1:2" ht="17.25" customHeight="1">
      <c r="A7" s="11">
        <v>6</v>
      </c>
      <c r="B7" s="12" t="s">
        <v>104</v>
      </c>
    </row>
    <row r="8" spans="1:2" ht="17.25" customHeight="1">
      <c r="A8" s="11">
        <v>7</v>
      </c>
      <c r="B8" s="12" t="s">
        <v>116</v>
      </c>
    </row>
    <row r="9" spans="1:2" ht="17.25" customHeight="1">
      <c r="A9" s="11">
        <v>8</v>
      </c>
      <c r="B9" s="12" t="s">
        <v>122</v>
      </c>
    </row>
    <row r="10" spans="1:2" ht="17.25" customHeight="1">
      <c r="A10" s="11">
        <v>9</v>
      </c>
      <c r="B10" s="12" t="s">
        <v>126</v>
      </c>
    </row>
    <row r="11" spans="1:2" ht="17.25" customHeight="1">
      <c r="A11" s="11">
        <v>10</v>
      </c>
      <c r="B11" s="12" t="s">
        <v>129</v>
      </c>
    </row>
    <row r="12" spans="1:2" ht="17.25" customHeight="1">
      <c r="A12" s="11">
        <v>11</v>
      </c>
      <c r="B12" s="11" t="s">
        <v>132</v>
      </c>
    </row>
    <row r="13" spans="1:2" ht="17.25" customHeight="1">
      <c r="A13" s="11">
        <v>12</v>
      </c>
      <c r="B13" s="11" t="s">
        <v>135</v>
      </c>
    </row>
    <row r="14" spans="1:2" ht="17.25" customHeight="1">
      <c r="A14" s="11">
        <v>13</v>
      </c>
      <c r="B14" s="11" t="s">
        <v>139</v>
      </c>
    </row>
    <row r="15" spans="1:2" ht="17.25" customHeight="1">
      <c r="A15" s="11">
        <v>14</v>
      </c>
      <c r="B15" s="11" t="s">
        <v>144</v>
      </c>
    </row>
    <row r="16" spans="1:2" ht="17.25" customHeight="1">
      <c r="A16" s="11">
        <v>15</v>
      </c>
      <c r="B16" s="11" t="s">
        <v>148</v>
      </c>
    </row>
    <row r="17" spans="1:3" ht="17.25" customHeight="1">
      <c r="A17" s="11">
        <v>16</v>
      </c>
      <c r="B17" s="11" t="s">
        <v>152</v>
      </c>
    </row>
    <row r="18" spans="1:3" ht="17.25" customHeight="1">
      <c r="A18" s="11">
        <v>17</v>
      </c>
      <c r="B18" s="12" t="s">
        <v>156</v>
      </c>
    </row>
    <row r="19" spans="1:3" ht="17.25" customHeight="1">
      <c r="A19" s="11">
        <v>18</v>
      </c>
      <c r="B19" s="12" t="s">
        <v>161</v>
      </c>
    </row>
    <row r="20" spans="1:3" ht="17.25" customHeight="1">
      <c r="A20" s="11">
        <v>19</v>
      </c>
      <c r="B20" s="12" t="s">
        <v>166</v>
      </c>
    </row>
    <row r="21" spans="1:3" ht="17.25" customHeight="1">
      <c r="A21" s="11">
        <v>20</v>
      </c>
      <c r="B21" s="12" t="s">
        <v>170</v>
      </c>
    </row>
    <row r="22" spans="1:3" ht="17.25" customHeight="1">
      <c r="A22" s="11">
        <v>21</v>
      </c>
      <c r="B22" s="12" t="s">
        <v>88</v>
      </c>
    </row>
    <row r="23" spans="1:3" ht="17.25" customHeight="1">
      <c r="A23" s="11">
        <v>22</v>
      </c>
      <c r="B23" s="12" t="s">
        <v>94</v>
      </c>
    </row>
    <row r="24" spans="1:3" ht="17.25" customHeight="1">
      <c r="A24" s="11">
        <v>23</v>
      </c>
      <c r="B24" s="12" t="s">
        <v>118</v>
      </c>
    </row>
    <row r="25" spans="1:3" ht="17.25" customHeight="1">
      <c r="A25" s="11">
        <v>24</v>
      </c>
      <c r="B25" s="12" t="s">
        <v>181</v>
      </c>
      <c r="C25" s="25"/>
    </row>
    <row r="26" spans="1:3" ht="17.25" customHeight="1">
      <c r="A26" s="12">
        <v>25</v>
      </c>
      <c r="B26" s="12" t="s">
        <v>184</v>
      </c>
    </row>
    <row r="27" spans="1:3" ht="17.25" customHeight="1">
      <c r="A27" s="12">
        <v>26</v>
      </c>
      <c r="B27" s="12" t="s">
        <v>187</v>
      </c>
    </row>
    <row r="28" spans="1:3" ht="17.25" customHeight="1">
      <c r="A28" s="12">
        <v>27</v>
      </c>
      <c r="B28" s="12" t="s">
        <v>190</v>
      </c>
    </row>
    <row r="29" spans="1:3" ht="17.25" customHeight="1">
      <c r="A29" s="12">
        <v>28</v>
      </c>
      <c r="B29" s="22" t="s">
        <v>137</v>
      </c>
    </row>
    <row r="30" spans="1:3" ht="17.25" customHeight="1">
      <c r="A30" s="12">
        <v>29</v>
      </c>
      <c r="B30" s="22" t="s">
        <v>158</v>
      </c>
    </row>
    <row r="31" spans="1:3" ht="17.25" customHeight="1">
      <c r="A31" s="12">
        <v>30</v>
      </c>
      <c r="B31" s="22" t="s">
        <v>206</v>
      </c>
    </row>
    <row r="32" spans="1:3" ht="17.25" customHeight="1">
      <c r="A32" s="12">
        <v>31</v>
      </c>
      <c r="B32" s="12" t="s">
        <v>212</v>
      </c>
    </row>
    <row r="33" spans="1:2" ht="17.25" customHeight="1">
      <c r="A33" s="12">
        <v>32</v>
      </c>
      <c r="B33" s="12" t="s">
        <v>99</v>
      </c>
    </row>
    <row r="34" spans="1:2" ht="17.25" customHeight="1">
      <c r="A34" s="12">
        <v>33</v>
      </c>
      <c r="B34" s="22" t="s">
        <v>124</v>
      </c>
    </row>
    <row r="35" spans="1:2" ht="17.25" customHeight="1">
      <c r="A35" s="12">
        <v>34</v>
      </c>
      <c r="B35" s="22" t="s">
        <v>141</v>
      </c>
    </row>
    <row r="36" spans="1:2" ht="17.25" customHeight="1">
      <c r="A36" s="12">
        <v>35</v>
      </c>
      <c r="B36" s="22" t="s">
        <v>248</v>
      </c>
    </row>
    <row r="37" spans="1:2" ht="17.25" customHeight="1">
      <c r="A37" s="12">
        <v>36</v>
      </c>
      <c r="B37" s="22" t="s">
        <v>262</v>
      </c>
    </row>
    <row r="38" spans="1:2" ht="17.25" customHeight="1">
      <c r="A38" s="12">
        <v>37</v>
      </c>
      <c r="B38" s="12" t="s">
        <v>278</v>
      </c>
    </row>
    <row r="39" spans="1:2" ht="17.25" customHeight="1">
      <c r="A39" s="12">
        <v>38</v>
      </c>
      <c r="B39" s="12" t="s">
        <v>297</v>
      </c>
    </row>
    <row r="40" spans="1:2" ht="17.25" customHeight="1">
      <c r="A40" s="12">
        <v>39</v>
      </c>
      <c r="B40" s="12" t="s">
        <v>372</v>
      </c>
    </row>
    <row r="41" spans="1:2" ht="17.25" customHeight="1">
      <c r="A41" s="12">
        <v>40</v>
      </c>
      <c r="B41" s="12" t="s">
        <v>280</v>
      </c>
    </row>
    <row r="42" spans="1:2" ht="17.25" customHeight="1">
      <c r="A42" s="12">
        <v>41</v>
      </c>
      <c r="B42" s="12" t="s">
        <v>373</v>
      </c>
    </row>
    <row r="43" spans="1:2" ht="17.25" customHeight="1">
      <c r="A43" s="12">
        <v>42</v>
      </c>
      <c r="B43" s="11" t="s">
        <v>374</v>
      </c>
    </row>
    <row r="44" spans="1:2" ht="17.25" customHeight="1">
      <c r="A44" s="12">
        <v>43</v>
      </c>
      <c r="B44" s="12" t="s">
        <v>264</v>
      </c>
    </row>
    <row r="45" spans="1:2" ht="17.25" customHeight="1">
      <c r="A45" s="12"/>
      <c r="B45" s="12"/>
    </row>
  </sheetData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2" customWidth="1"/>
    <col min="2" max="2" width="28" customWidth="1"/>
    <col min="3" max="3" width="20" customWidth="1"/>
  </cols>
  <sheetData>
    <row r="1" spans="1:3" ht="17.25" customHeight="1">
      <c r="A1" s="9" t="s">
        <v>61</v>
      </c>
      <c r="B1" s="9" t="s">
        <v>62</v>
      </c>
      <c r="C1" s="9" t="s">
        <v>63</v>
      </c>
    </row>
    <row r="2" spans="1:3" ht="17.25" customHeight="1">
      <c r="A2" s="11" t="s">
        <v>82</v>
      </c>
      <c r="B2" s="11" t="s">
        <v>83</v>
      </c>
      <c r="C2" s="12" t="s">
        <v>84</v>
      </c>
    </row>
    <row r="3" spans="1:3" ht="17.25" customHeight="1">
      <c r="A3" s="11" t="s">
        <v>90</v>
      </c>
      <c r="B3" s="11" t="s">
        <v>83</v>
      </c>
      <c r="C3" s="12" t="s">
        <v>91</v>
      </c>
    </row>
    <row r="4" spans="1:3" ht="17.25" customHeight="1">
      <c r="A4" s="11" t="s">
        <v>95</v>
      </c>
      <c r="B4" s="11" t="s">
        <v>83</v>
      </c>
      <c r="C4" s="12" t="s">
        <v>96</v>
      </c>
    </row>
    <row r="5" spans="1:3" ht="17.25" customHeight="1">
      <c r="A5" s="11" t="s">
        <v>100</v>
      </c>
      <c r="B5" s="11" t="s">
        <v>83</v>
      </c>
      <c r="C5" s="12" t="s">
        <v>101</v>
      </c>
    </row>
    <row r="6" spans="1:3" ht="17.25" customHeight="1">
      <c r="A6" s="11" t="s">
        <v>107</v>
      </c>
      <c r="B6" s="11" t="s">
        <v>83</v>
      </c>
      <c r="C6" s="12" t="s">
        <v>108</v>
      </c>
    </row>
    <row r="7" spans="1:3" ht="17.25" customHeight="1">
      <c r="A7" s="11" t="s">
        <v>111</v>
      </c>
      <c r="B7" s="11" t="s">
        <v>83</v>
      </c>
      <c r="C7" s="12" t="s">
        <v>112</v>
      </c>
    </row>
    <row r="8" spans="1:3" ht="17.25" customHeight="1">
      <c r="A8" s="11" t="s">
        <v>114</v>
      </c>
      <c r="B8" s="11" t="s">
        <v>83</v>
      </c>
      <c r="C8" s="12" t="s">
        <v>115</v>
      </c>
    </row>
    <row r="9" spans="1:3" ht="17.25" customHeight="1">
      <c r="A9" s="11" t="s">
        <v>120</v>
      </c>
      <c r="B9" s="11" t="s">
        <v>83</v>
      </c>
      <c r="C9" s="12" t="s">
        <v>121</v>
      </c>
    </row>
    <row r="10" spans="1:3" ht="17.25" customHeight="1">
      <c r="A10" s="11" t="s">
        <v>125</v>
      </c>
      <c r="B10" s="11" t="s">
        <v>83</v>
      </c>
      <c r="C10" s="12" t="s">
        <v>84</v>
      </c>
    </row>
    <row r="11" spans="1:3" ht="17.25" customHeight="1">
      <c r="A11" s="11" t="s">
        <v>105</v>
      </c>
      <c r="B11" s="11" t="s">
        <v>128</v>
      </c>
      <c r="C11" s="12" t="s">
        <v>84</v>
      </c>
    </row>
    <row r="12" spans="1:3" ht="17.25" customHeight="1">
      <c r="A12" s="11" t="s">
        <v>106</v>
      </c>
      <c r="B12" s="11" t="s">
        <v>128</v>
      </c>
      <c r="C12" s="12" t="s">
        <v>131</v>
      </c>
    </row>
    <row r="13" spans="1:3" ht="17.25" customHeight="1">
      <c r="A13" s="11" t="s">
        <v>134</v>
      </c>
      <c r="B13" s="11" t="s">
        <v>128</v>
      </c>
      <c r="C13" s="12" t="s">
        <v>115</v>
      </c>
    </row>
    <row r="14" spans="1:3" ht="17.25" customHeight="1">
      <c r="A14" s="11" t="s">
        <v>138</v>
      </c>
      <c r="B14" s="11" t="s">
        <v>128</v>
      </c>
      <c r="C14" s="12" t="s">
        <v>121</v>
      </c>
    </row>
    <row r="15" spans="1:3" ht="17.25" customHeight="1">
      <c r="A15" s="11" t="s">
        <v>142</v>
      </c>
      <c r="B15" s="11" t="s">
        <v>128</v>
      </c>
      <c r="C15" s="12" t="s">
        <v>143</v>
      </c>
    </row>
    <row r="16" spans="1:3" ht="17.25" customHeight="1">
      <c r="A16" s="11" t="s">
        <v>146</v>
      </c>
      <c r="B16" s="11" t="s">
        <v>128</v>
      </c>
      <c r="C16" s="12" t="s">
        <v>147</v>
      </c>
    </row>
    <row r="17" spans="1:3" ht="17.25" customHeight="1">
      <c r="A17" s="11" t="s">
        <v>150</v>
      </c>
      <c r="B17" s="11" t="s">
        <v>128</v>
      </c>
      <c r="C17" s="12" t="s">
        <v>151</v>
      </c>
    </row>
    <row r="18" spans="1:3" ht="17.25" customHeight="1">
      <c r="A18" s="11" t="s">
        <v>154</v>
      </c>
      <c r="B18" s="11" t="s">
        <v>128</v>
      </c>
      <c r="C18" s="12" t="s">
        <v>155</v>
      </c>
    </row>
    <row r="19" spans="1:3" ht="17.25" customHeight="1">
      <c r="A19" s="11" t="s">
        <v>159</v>
      </c>
      <c r="B19" s="11" t="s">
        <v>128</v>
      </c>
      <c r="C19" s="12" t="s">
        <v>160</v>
      </c>
    </row>
    <row r="20" spans="1:3" ht="17.25" customHeight="1">
      <c r="A20" s="11" t="s">
        <v>164</v>
      </c>
      <c r="B20" s="11" t="s">
        <v>128</v>
      </c>
      <c r="C20" s="12" t="s">
        <v>165</v>
      </c>
    </row>
    <row r="21" spans="1:3" ht="17.25" customHeight="1">
      <c r="A21" s="11" t="s">
        <v>168</v>
      </c>
      <c r="B21" s="11" t="s">
        <v>169</v>
      </c>
      <c r="C21" s="12" t="s">
        <v>84</v>
      </c>
    </row>
    <row r="22" spans="1:3" ht="17.25" customHeight="1">
      <c r="A22" s="11" t="s">
        <v>172</v>
      </c>
      <c r="B22" s="11" t="s">
        <v>169</v>
      </c>
      <c r="C22" s="12" t="s">
        <v>131</v>
      </c>
    </row>
    <row r="23" spans="1:3" ht="17.25" customHeight="1">
      <c r="A23" s="11" t="s">
        <v>174</v>
      </c>
      <c r="B23" s="11" t="s">
        <v>169</v>
      </c>
      <c r="C23" s="12" t="s">
        <v>115</v>
      </c>
    </row>
    <row r="24" spans="1:3" ht="17.25" customHeight="1">
      <c r="A24" s="11" t="s">
        <v>177</v>
      </c>
      <c r="B24" s="11" t="s">
        <v>169</v>
      </c>
      <c r="C24" s="12" t="s">
        <v>121</v>
      </c>
    </row>
    <row r="25" spans="1:3" ht="17.25" customHeight="1">
      <c r="A25" s="11" t="s">
        <v>180</v>
      </c>
      <c r="B25" s="11" t="s">
        <v>169</v>
      </c>
      <c r="C25" s="12" t="s">
        <v>147</v>
      </c>
    </row>
    <row r="26" spans="1:3" ht="17.25" customHeight="1">
      <c r="A26" s="11" t="s">
        <v>183</v>
      </c>
      <c r="B26" s="11" t="s">
        <v>169</v>
      </c>
      <c r="C26" s="12" t="s">
        <v>151</v>
      </c>
    </row>
    <row r="27" spans="1:3" ht="17.25" customHeight="1">
      <c r="A27" s="11" t="s">
        <v>186</v>
      </c>
      <c r="B27" s="11" t="s">
        <v>169</v>
      </c>
      <c r="C27" s="12" t="s">
        <v>155</v>
      </c>
    </row>
    <row r="28" spans="1:3" ht="17.25" customHeight="1">
      <c r="A28" s="11" t="s">
        <v>189</v>
      </c>
      <c r="B28" s="11" t="s">
        <v>169</v>
      </c>
      <c r="C28" s="12" t="s">
        <v>160</v>
      </c>
    </row>
    <row r="29" spans="1:3" ht="17.25" customHeight="1">
      <c r="A29" s="11" t="s">
        <v>193</v>
      </c>
      <c r="B29" s="11" t="s">
        <v>169</v>
      </c>
      <c r="C29" s="12" t="s">
        <v>165</v>
      </c>
    </row>
    <row r="30" spans="1:3" ht="17.25" customHeight="1">
      <c r="A30" s="11" t="s">
        <v>195</v>
      </c>
      <c r="B30" s="11" t="s">
        <v>196</v>
      </c>
      <c r="C30" s="12" t="s">
        <v>115</v>
      </c>
    </row>
    <row r="31" spans="1:3" ht="17.25" customHeight="1">
      <c r="A31" s="11" t="s">
        <v>198</v>
      </c>
      <c r="B31" s="11" t="s">
        <v>196</v>
      </c>
      <c r="C31" s="12" t="s">
        <v>121</v>
      </c>
    </row>
    <row r="32" spans="1:3" ht="17.25" customHeight="1">
      <c r="A32" s="11" t="s">
        <v>200</v>
      </c>
      <c r="B32" s="11" t="s">
        <v>196</v>
      </c>
      <c r="C32" s="12" t="s">
        <v>143</v>
      </c>
    </row>
    <row r="33" spans="1:3" ht="17.25" customHeight="1">
      <c r="A33" s="11" t="s">
        <v>202</v>
      </c>
      <c r="B33" s="11" t="s">
        <v>203</v>
      </c>
      <c r="C33" s="12" t="s">
        <v>115</v>
      </c>
    </row>
    <row r="34" spans="1:3" ht="17.25" customHeight="1">
      <c r="A34" s="11" t="s">
        <v>205</v>
      </c>
      <c r="B34" s="11" t="s">
        <v>203</v>
      </c>
      <c r="C34" s="12" t="s">
        <v>121</v>
      </c>
    </row>
    <row r="35" spans="1:3" ht="17.25" customHeight="1">
      <c r="A35" s="11" t="s">
        <v>208</v>
      </c>
      <c r="B35" s="11" t="s">
        <v>203</v>
      </c>
      <c r="C35" s="12" t="s">
        <v>143</v>
      </c>
    </row>
    <row r="36" spans="1:3" ht="17.25" customHeight="1">
      <c r="A36" s="11" t="s">
        <v>210</v>
      </c>
      <c r="B36" s="11" t="s">
        <v>211</v>
      </c>
      <c r="C36" s="12" t="s">
        <v>84</v>
      </c>
    </row>
    <row r="37" spans="1:3" ht="17.25" customHeight="1">
      <c r="A37" s="11" t="s">
        <v>214</v>
      </c>
      <c r="B37" s="11" t="s">
        <v>211</v>
      </c>
      <c r="C37" s="12" t="s">
        <v>131</v>
      </c>
    </row>
    <row r="38" spans="1:3" ht="17.25" customHeight="1">
      <c r="A38" s="11" t="s">
        <v>216</v>
      </c>
      <c r="B38" s="11" t="s">
        <v>211</v>
      </c>
      <c r="C38" s="12" t="s">
        <v>121</v>
      </c>
    </row>
    <row r="39" spans="1:3" ht="17.25" customHeight="1">
      <c r="A39" s="11" t="s">
        <v>219</v>
      </c>
      <c r="B39" s="11" t="s">
        <v>211</v>
      </c>
      <c r="C39" s="12" t="s">
        <v>147</v>
      </c>
    </row>
    <row r="40" spans="1:3" ht="17.25" customHeight="1">
      <c r="A40" s="11" t="s">
        <v>221</v>
      </c>
      <c r="B40" s="11" t="s">
        <v>211</v>
      </c>
      <c r="C40" s="12" t="s">
        <v>151</v>
      </c>
    </row>
    <row r="41" spans="1:3" ht="17.25" customHeight="1">
      <c r="A41" s="11" t="s">
        <v>223</v>
      </c>
      <c r="B41" s="11" t="s">
        <v>211</v>
      </c>
      <c r="C41" s="12" t="s">
        <v>155</v>
      </c>
    </row>
    <row r="42" spans="1:3" ht="17.25" customHeight="1">
      <c r="A42" s="11" t="s">
        <v>225</v>
      </c>
      <c r="B42" s="11" t="s">
        <v>211</v>
      </c>
      <c r="C42" s="12" t="s">
        <v>160</v>
      </c>
    </row>
    <row r="43" spans="1:3" ht="17.25" customHeight="1">
      <c r="A43" s="11" t="s">
        <v>227</v>
      </c>
      <c r="B43" s="11" t="s">
        <v>211</v>
      </c>
      <c r="C43" s="12" t="s">
        <v>165</v>
      </c>
    </row>
    <row r="44" spans="1:3" ht="17.25" customHeight="1">
      <c r="A44" s="11" t="s">
        <v>230</v>
      </c>
      <c r="B44" s="11" t="s">
        <v>231</v>
      </c>
      <c r="C44" s="12" t="s">
        <v>84</v>
      </c>
    </row>
    <row r="45" spans="1:3" ht="17.25" customHeight="1">
      <c r="A45" s="11" t="s">
        <v>233</v>
      </c>
      <c r="B45" s="11" t="s">
        <v>231</v>
      </c>
      <c r="C45" s="12" t="s">
        <v>131</v>
      </c>
    </row>
    <row r="46" spans="1:3" ht="17.25" customHeight="1">
      <c r="A46" s="11" t="s">
        <v>235</v>
      </c>
      <c r="B46" s="11" t="s">
        <v>231</v>
      </c>
      <c r="C46" s="12" t="s">
        <v>121</v>
      </c>
    </row>
    <row r="47" spans="1:3" ht="17.25" customHeight="1">
      <c r="A47" s="11" t="s">
        <v>237</v>
      </c>
      <c r="B47" s="11" t="s">
        <v>231</v>
      </c>
      <c r="C47" s="12" t="s">
        <v>147</v>
      </c>
    </row>
    <row r="48" spans="1:3" ht="17.25" customHeight="1">
      <c r="A48" s="11" t="s">
        <v>239</v>
      </c>
      <c r="B48" s="11" t="s">
        <v>231</v>
      </c>
      <c r="C48" s="12" t="s">
        <v>151</v>
      </c>
    </row>
    <row r="49" spans="1:3" ht="17.25" customHeight="1">
      <c r="A49" s="11" t="s">
        <v>241</v>
      </c>
      <c r="B49" s="11" t="s">
        <v>231</v>
      </c>
      <c r="C49" s="12" t="s">
        <v>155</v>
      </c>
    </row>
    <row r="50" spans="1:3" ht="17.25" customHeight="1">
      <c r="A50" s="11" t="s">
        <v>243</v>
      </c>
      <c r="B50" s="11" t="s">
        <v>231</v>
      </c>
      <c r="C50" s="12" t="s">
        <v>160</v>
      </c>
    </row>
    <row r="51" spans="1:3" ht="17.25" customHeight="1">
      <c r="A51" s="11" t="s">
        <v>247</v>
      </c>
      <c r="B51" s="11" t="s">
        <v>231</v>
      </c>
      <c r="C51" s="12" t="s">
        <v>165</v>
      </c>
    </row>
    <row r="52" spans="1:3" ht="17.25" customHeight="1">
      <c r="A52" s="11" t="s">
        <v>250</v>
      </c>
      <c r="B52" s="11" t="s">
        <v>251</v>
      </c>
      <c r="C52" s="12" t="s">
        <v>84</v>
      </c>
    </row>
    <row r="53" spans="1:3" ht="17.25" customHeight="1">
      <c r="A53" s="11" t="s">
        <v>253</v>
      </c>
      <c r="B53" s="11" t="s">
        <v>251</v>
      </c>
      <c r="C53" s="12" t="s">
        <v>131</v>
      </c>
    </row>
    <row r="54" spans="1:3" ht="17.25" customHeight="1">
      <c r="A54" s="11" t="s">
        <v>256</v>
      </c>
      <c r="B54" s="11" t="s">
        <v>251</v>
      </c>
      <c r="C54" s="12" t="s">
        <v>121</v>
      </c>
    </row>
    <row r="55" spans="1:3" ht="17.25" customHeight="1">
      <c r="A55" s="11" t="s">
        <v>258</v>
      </c>
      <c r="B55" s="11" t="s">
        <v>251</v>
      </c>
      <c r="C55" s="12" t="s">
        <v>147</v>
      </c>
    </row>
    <row r="56" spans="1:3" ht="17.25" customHeight="1">
      <c r="A56" s="11" t="s">
        <v>261</v>
      </c>
      <c r="B56" s="11" t="s">
        <v>251</v>
      </c>
      <c r="C56" s="12" t="s">
        <v>151</v>
      </c>
    </row>
    <row r="57" spans="1:3" ht="17.25" customHeight="1">
      <c r="A57" s="11" t="s">
        <v>265</v>
      </c>
      <c r="B57" s="11" t="s">
        <v>251</v>
      </c>
      <c r="C57" s="12" t="s">
        <v>155</v>
      </c>
    </row>
    <row r="58" spans="1:3" ht="17.25" customHeight="1">
      <c r="A58" s="11" t="s">
        <v>268</v>
      </c>
      <c r="B58" s="11" t="s">
        <v>251</v>
      </c>
      <c r="C58" s="12" t="s">
        <v>160</v>
      </c>
    </row>
    <row r="59" spans="1:3" ht="17.25" customHeight="1">
      <c r="A59" s="11" t="s">
        <v>271</v>
      </c>
      <c r="B59" s="11" t="s">
        <v>251</v>
      </c>
      <c r="C59" s="12" t="s">
        <v>165</v>
      </c>
    </row>
    <row r="60" spans="1:3" ht="17.25" customHeight="1">
      <c r="A60" s="11" t="s">
        <v>273</v>
      </c>
      <c r="B60" s="11" t="s">
        <v>274</v>
      </c>
      <c r="C60" s="12" t="s">
        <v>155</v>
      </c>
    </row>
    <row r="61" spans="1:3" ht="17.25" customHeight="1">
      <c r="A61" s="11" t="s">
        <v>277</v>
      </c>
      <c r="B61" s="11" t="s">
        <v>274</v>
      </c>
      <c r="C61" s="12" t="s">
        <v>160</v>
      </c>
    </row>
    <row r="62" spans="1:3" ht="17.25" customHeight="1">
      <c r="A62" s="11" t="s">
        <v>281</v>
      </c>
      <c r="B62" s="11" t="s">
        <v>274</v>
      </c>
      <c r="C62" s="12" t="s">
        <v>165</v>
      </c>
    </row>
    <row r="63" spans="1:3" ht="17.25" customHeight="1">
      <c r="A63" s="11" t="s">
        <v>284</v>
      </c>
      <c r="B63" s="11" t="s">
        <v>285</v>
      </c>
      <c r="C63" s="12" t="s">
        <v>155</v>
      </c>
    </row>
    <row r="64" spans="1:3" ht="17.25" customHeight="1">
      <c r="A64" s="11" t="s">
        <v>288</v>
      </c>
      <c r="B64" s="11" t="s">
        <v>285</v>
      </c>
      <c r="C64" s="12" t="s">
        <v>160</v>
      </c>
    </row>
    <row r="65" spans="1:3" ht="17.25" customHeight="1">
      <c r="A65" s="11" t="s">
        <v>291</v>
      </c>
      <c r="B65" s="11" t="s">
        <v>285</v>
      </c>
      <c r="C65" s="12" t="s">
        <v>165</v>
      </c>
    </row>
    <row r="66" spans="1:3" ht="17.25" customHeight="1">
      <c r="A66" s="11" t="s">
        <v>294</v>
      </c>
      <c r="B66" s="11" t="s">
        <v>295</v>
      </c>
      <c r="C66" s="12" t="s">
        <v>296</v>
      </c>
    </row>
    <row r="67" spans="1:3" ht="17.25" customHeight="1">
      <c r="A67" s="11" t="s">
        <v>300</v>
      </c>
      <c r="B67" s="11" t="s">
        <v>295</v>
      </c>
      <c r="C67" s="12" t="s">
        <v>301</v>
      </c>
    </row>
    <row r="68" spans="1:3" ht="17.25" customHeight="1">
      <c r="A68" s="11" t="s">
        <v>304</v>
      </c>
      <c r="B68" s="11" t="s">
        <v>295</v>
      </c>
      <c r="C68" s="12" t="s">
        <v>305</v>
      </c>
    </row>
    <row r="69" spans="1:3" ht="17.25" customHeight="1">
      <c r="A69" s="11" t="s">
        <v>308</v>
      </c>
      <c r="B69" s="11" t="s">
        <v>309</v>
      </c>
      <c r="C69" s="12" t="s">
        <v>147</v>
      </c>
    </row>
    <row r="70" spans="1:3" ht="17.25" customHeight="1">
      <c r="A70" s="11" t="s">
        <v>311</v>
      </c>
      <c r="B70" s="12" t="s">
        <v>312</v>
      </c>
      <c r="C70" s="12" t="s">
        <v>96</v>
      </c>
    </row>
    <row r="71" spans="1:3" ht="17.25" customHeight="1">
      <c r="A71" s="11" t="s">
        <v>314</v>
      </c>
      <c r="B71" s="12" t="s">
        <v>312</v>
      </c>
      <c r="C71" s="12" t="s">
        <v>101</v>
      </c>
    </row>
    <row r="72" spans="1:3" ht="17.25" customHeight="1">
      <c r="A72" s="11" t="s">
        <v>316</v>
      </c>
      <c r="B72" s="12" t="s">
        <v>312</v>
      </c>
      <c r="C72" s="12" t="s">
        <v>115</v>
      </c>
    </row>
    <row r="73" spans="1:3" ht="17.25" customHeight="1">
      <c r="A73" s="11" t="s">
        <v>318</v>
      </c>
      <c r="B73" s="12" t="s">
        <v>312</v>
      </c>
      <c r="C73" s="12" t="s">
        <v>121</v>
      </c>
    </row>
  </sheetData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8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4" sqref="E4"/>
    </sheetView>
  </sheetViews>
  <sheetFormatPr defaultColWidth="8.6328125" defaultRowHeight="14.5"/>
  <cols>
    <col min="1" max="1" width="11" customWidth="1"/>
    <col min="2" max="2" width="22" customWidth="1"/>
    <col min="3" max="3" width="11" customWidth="1"/>
    <col min="4" max="4" width="9" customWidth="1"/>
    <col min="5" max="5" width="60" customWidth="1"/>
    <col min="6" max="6" width="48" customWidth="1"/>
    <col min="7" max="7" width="30" customWidth="1"/>
    <col min="8" max="8" width="7" customWidth="1"/>
    <col min="9" max="9" width="24" customWidth="1"/>
  </cols>
  <sheetData>
    <row r="1" spans="1:9" ht="21.75" customHeight="1">
      <c r="A1" s="41" t="s">
        <v>375</v>
      </c>
      <c r="B1" s="41"/>
      <c r="C1" s="41"/>
      <c r="D1" s="41"/>
      <c r="E1" s="41"/>
      <c r="F1" s="41"/>
      <c r="G1" s="41"/>
      <c r="H1" s="41"/>
      <c r="I1" s="41"/>
    </row>
    <row r="2" spans="1:9" ht="30" customHeight="1">
      <c r="A2" s="26" t="s">
        <v>376</v>
      </c>
      <c r="B2" s="26" t="s">
        <v>70</v>
      </c>
      <c r="C2" s="26" t="s">
        <v>66</v>
      </c>
      <c r="D2" s="26" t="s">
        <v>377</v>
      </c>
      <c r="E2" s="26" t="s">
        <v>378</v>
      </c>
      <c r="F2" s="27" t="s">
        <v>379</v>
      </c>
      <c r="G2" s="26" t="s">
        <v>380</v>
      </c>
      <c r="H2" s="27" t="s">
        <v>381</v>
      </c>
      <c r="I2" s="26" t="s">
        <v>80</v>
      </c>
    </row>
    <row r="3" spans="1:9" ht="33.75" customHeight="1">
      <c r="A3" s="28" t="s">
        <v>87</v>
      </c>
      <c r="B3" s="29" t="s">
        <v>88</v>
      </c>
      <c r="C3" s="30" t="s">
        <v>86</v>
      </c>
      <c r="D3" s="31">
        <v>1</v>
      </c>
      <c r="E3" s="32"/>
      <c r="F3" s="32"/>
      <c r="G3" s="33"/>
      <c r="H3" s="31"/>
      <c r="I3" s="32"/>
    </row>
    <row r="4" spans="1:9" ht="33.75" customHeight="1">
      <c r="A4" s="28" t="s">
        <v>93</v>
      </c>
      <c r="B4" s="29" t="s">
        <v>382</v>
      </c>
      <c r="C4" s="30" t="s">
        <v>86</v>
      </c>
      <c r="D4" s="31">
        <v>1</v>
      </c>
      <c r="E4" s="32"/>
      <c r="F4" s="32"/>
      <c r="G4" s="33"/>
      <c r="H4" s="31"/>
      <c r="I4" s="32"/>
    </row>
    <row r="5" spans="1:9" ht="33.75" customHeight="1">
      <c r="A5" s="28" t="s">
        <v>98</v>
      </c>
      <c r="B5" s="29" t="s">
        <v>383</v>
      </c>
      <c r="C5" s="30" t="s">
        <v>86</v>
      </c>
      <c r="D5" s="31">
        <v>1</v>
      </c>
      <c r="E5" s="32"/>
      <c r="F5" s="32"/>
      <c r="G5" s="33"/>
      <c r="H5" s="31"/>
      <c r="I5" s="32"/>
    </row>
    <row r="6" spans="1:9" ht="33.75" customHeight="1">
      <c r="A6" s="28" t="s">
        <v>103</v>
      </c>
      <c r="B6" s="29" t="s">
        <v>104</v>
      </c>
      <c r="C6" s="30" t="s">
        <v>86</v>
      </c>
      <c r="D6" s="31">
        <v>1</v>
      </c>
      <c r="E6" s="32"/>
      <c r="F6" s="32"/>
      <c r="G6" s="33"/>
      <c r="H6" s="31"/>
      <c r="I6" s="32"/>
    </row>
    <row r="7" spans="1:9" ht="33.75" customHeight="1">
      <c r="A7" s="34" t="s">
        <v>110</v>
      </c>
      <c r="B7" s="35"/>
      <c r="C7" s="36" t="s">
        <v>86</v>
      </c>
      <c r="D7" s="31">
        <v>1</v>
      </c>
      <c r="E7" s="32"/>
      <c r="F7" s="32"/>
      <c r="G7" s="33"/>
      <c r="H7" s="31"/>
      <c r="I7" s="37" t="s">
        <v>384</v>
      </c>
    </row>
    <row r="8" spans="1:9" ht="33.75" customHeight="1">
      <c r="A8" s="34" t="s">
        <v>113</v>
      </c>
      <c r="B8" s="35"/>
      <c r="C8" s="36" t="s">
        <v>86</v>
      </c>
      <c r="D8" s="31">
        <v>1</v>
      </c>
      <c r="E8" s="37"/>
      <c r="F8" s="37"/>
      <c r="G8" s="33"/>
      <c r="H8" s="31"/>
      <c r="I8" s="37" t="s">
        <v>384</v>
      </c>
    </row>
    <row r="9" spans="1:9" ht="33.75" customHeight="1">
      <c r="A9" s="28" t="s">
        <v>117</v>
      </c>
      <c r="B9" s="29" t="s">
        <v>385</v>
      </c>
      <c r="C9" s="30" t="s">
        <v>86</v>
      </c>
      <c r="D9" s="31">
        <v>1</v>
      </c>
      <c r="E9" s="37"/>
      <c r="F9" s="37"/>
      <c r="G9" s="33"/>
      <c r="H9" s="31"/>
      <c r="I9" s="37"/>
    </row>
    <row r="10" spans="1:9" ht="33.75" customHeight="1">
      <c r="A10" s="28" t="s">
        <v>123</v>
      </c>
      <c r="B10" s="29" t="s">
        <v>386</v>
      </c>
      <c r="C10" s="30" t="s">
        <v>86</v>
      </c>
      <c r="D10" s="31">
        <v>1</v>
      </c>
      <c r="E10" s="37"/>
      <c r="F10" s="37"/>
      <c r="G10" s="33"/>
      <c r="H10" s="31"/>
      <c r="I10" s="37"/>
    </row>
    <row r="11" spans="1:9" ht="33.75" customHeight="1">
      <c r="A11" s="28" t="s">
        <v>127</v>
      </c>
      <c r="B11" s="29" t="s">
        <v>104</v>
      </c>
      <c r="C11" s="30" t="s">
        <v>86</v>
      </c>
      <c r="D11" s="31">
        <v>1</v>
      </c>
      <c r="E11" s="37"/>
      <c r="F11" s="37"/>
      <c r="G11" s="33"/>
      <c r="H11" s="31"/>
      <c r="I11" s="37"/>
    </row>
    <row r="12" spans="1:9" ht="33.75" customHeight="1">
      <c r="A12" s="34" t="s">
        <v>130</v>
      </c>
      <c r="B12" s="35"/>
      <c r="C12" s="36" t="s">
        <v>86</v>
      </c>
      <c r="D12" s="31">
        <v>1</v>
      </c>
      <c r="E12" s="37"/>
      <c r="F12" s="37"/>
      <c r="G12" s="33"/>
      <c r="H12" s="31"/>
      <c r="I12" s="37" t="s">
        <v>384</v>
      </c>
    </row>
    <row r="13" spans="1:9" ht="33.75" customHeight="1">
      <c r="A13" s="34" t="s">
        <v>133</v>
      </c>
      <c r="B13" s="35"/>
      <c r="C13" s="36" t="s">
        <v>86</v>
      </c>
      <c r="D13" s="31">
        <v>1</v>
      </c>
      <c r="E13" s="37"/>
      <c r="F13" s="37"/>
      <c r="G13" s="33"/>
      <c r="H13" s="31"/>
      <c r="I13" s="37" t="s">
        <v>384</v>
      </c>
    </row>
    <row r="14" spans="1:9" ht="33.75" customHeight="1">
      <c r="A14" s="28" t="s">
        <v>136</v>
      </c>
      <c r="B14" s="29" t="s">
        <v>387</v>
      </c>
      <c r="C14" s="30" t="s">
        <v>86</v>
      </c>
      <c r="D14" s="31">
        <v>1</v>
      </c>
      <c r="E14" s="37"/>
      <c r="F14" s="37"/>
      <c r="G14" s="33"/>
      <c r="H14" s="31"/>
      <c r="I14" s="37"/>
    </row>
    <row r="15" spans="1:9" ht="33.75" customHeight="1">
      <c r="A15" s="28" t="s">
        <v>140</v>
      </c>
      <c r="B15" s="29" t="s">
        <v>388</v>
      </c>
      <c r="C15" s="30" t="s">
        <v>86</v>
      </c>
      <c r="D15" s="31">
        <v>1</v>
      </c>
      <c r="E15" s="37"/>
      <c r="F15" s="37"/>
      <c r="G15" s="33"/>
      <c r="H15" s="31"/>
      <c r="I15" s="37"/>
    </row>
    <row r="16" spans="1:9" ht="33.75" customHeight="1">
      <c r="A16" s="34" t="s">
        <v>145</v>
      </c>
      <c r="B16" s="35"/>
      <c r="C16" s="36" t="s">
        <v>86</v>
      </c>
      <c r="D16" s="31">
        <v>1</v>
      </c>
      <c r="E16" s="37"/>
      <c r="F16" s="37"/>
      <c r="G16" s="33"/>
      <c r="H16" s="31"/>
      <c r="I16" s="37" t="s">
        <v>384</v>
      </c>
    </row>
    <row r="17" spans="1:9" ht="33.75" customHeight="1">
      <c r="A17" s="34" t="s">
        <v>149</v>
      </c>
      <c r="B17" s="35"/>
      <c r="C17" s="36" t="s">
        <v>86</v>
      </c>
      <c r="D17" s="31">
        <v>1</v>
      </c>
      <c r="E17" s="37"/>
      <c r="F17" s="37"/>
      <c r="G17" s="33"/>
      <c r="H17" s="31"/>
      <c r="I17" s="37" t="s">
        <v>384</v>
      </c>
    </row>
    <row r="18" spans="1:9" ht="33.75" customHeight="1">
      <c r="A18" s="34" t="s">
        <v>153</v>
      </c>
      <c r="B18" s="35"/>
      <c r="C18" s="36" t="s">
        <v>86</v>
      </c>
      <c r="D18" s="31">
        <v>1</v>
      </c>
      <c r="E18" s="37"/>
      <c r="F18" s="37"/>
      <c r="G18" s="33"/>
      <c r="H18" s="31"/>
      <c r="I18" s="37" t="s">
        <v>384</v>
      </c>
    </row>
    <row r="19" spans="1:9" ht="33.75" customHeight="1">
      <c r="A19" s="28" t="s">
        <v>157</v>
      </c>
      <c r="B19" s="29" t="s">
        <v>389</v>
      </c>
      <c r="C19" s="30" t="s">
        <v>86</v>
      </c>
      <c r="D19" s="31">
        <v>1</v>
      </c>
      <c r="E19" s="37"/>
      <c r="F19" s="37"/>
      <c r="G19" s="33"/>
      <c r="H19" s="31"/>
      <c r="I19" s="37"/>
    </row>
    <row r="20" spans="1:9" ht="33.75" customHeight="1">
      <c r="A20" s="28" t="s">
        <v>162</v>
      </c>
      <c r="B20" s="29" t="s">
        <v>390</v>
      </c>
      <c r="C20" s="30" t="s">
        <v>86</v>
      </c>
      <c r="D20" s="31">
        <v>1</v>
      </c>
      <c r="E20" s="37"/>
      <c r="F20" s="37"/>
      <c r="G20" s="33"/>
      <c r="H20" s="31"/>
      <c r="I20" s="37"/>
    </row>
    <row r="21" spans="1:9" ht="33.75" customHeight="1">
      <c r="A21" s="34" t="s">
        <v>167</v>
      </c>
      <c r="B21" s="35"/>
      <c r="C21" s="36" t="s">
        <v>86</v>
      </c>
      <c r="D21" s="31">
        <v>1</v>
      </c>
      <c r="E21" s="37"/>
      <c r="F21" s="37"/>
      <c r="G21" s="33"/>
      <c r="H21" s="31"/>
      <c r="I21" s="37" t="s">
        <v>384</v>
      </c>
    </row>
    <row r="22" spans="1:9" ht="33.75" customHeight="1">
      <c r="A22" s="34" t="s">
        <v>171</v>
      </c>
      <c r="B22" s="35"/>
      <c r="C22" s="36" t="s">
        <v>86</v>
      </c>
      <c r="D22" s="31">
        <v>1</v>
      </c>
      <c r="E22" s="37"/>
      <c r="F22" s="37"/>
      <c r="G22" s="33"/>
      <c r="H22" s="31"/>
      <c r="I22" s="37" t="s">
        <v>384</v>
      </c>
    </row>
    <row r="23" spans="1:9" ht="33.75" customHeight="1">
      <c r="A23" s="34" t="s">
        <v>173</v>
      </c>
      <c r="B23" s="35"/>
      <c r="C23" s="36" t="s">
        <v>86</v>
      </c>
      <c r="D23" s="31">
        <v>1</v>
      </c>
      <c r="E23" s="37"/>
      <c r="F23" s="37"/>
      <c r="G23" s="33"/>
      <c r="H23" s="31"/>
      <c r="I23" s="37" t="s">
        <v>384</v>
      </c>
    </row>
    <row r="24" spans="1:9" ht="33.75" customHeight="1">
      <c r="A24" s="28" t="s">
        <v>175</v>
      </c>
      <c r="B24" s="29" t="s">
        <v>176</v>
      </c>
      <c r="C24" s="30" t="s">
        <v>86</v>
      </c>
      <c r="D24" s="31">
        <v>1</v>
      </c>
      <c r="E24" s="37"/>
      <c r="F24" s="37"/>
      <c r="G24" s="33"/>
      <c r="H24" s="31"/>
      <c r="I24" s="37"/>
    </row>
    <row r="25" spans="1:9" ht="33.75" customHeight="1">
      <c r="A25" s="28" t="s">
        <v>178</v>
      </c>
      <c r="B25" s="29" t="s">
        <v>179</v>
      </c>
      <c r="C25" s="30" t="s">
        <v>86</v>
      </c>
      <c r="D25" s="31">
        <v>1</v>
      </c>
      <c r="E25" s="37"/>
      <c r="F25" s="37"/>
      <c r="G25" s="33"/>
      <c r="H25" s="31"/>
      <c r="I25" s="37"/>
    </row>
    <row r="26" spans="1:9" ht="33.75" customHeight="1">
      <c r="A26" s="34" t="s">
        <v>182</v>
      </c>
      <c r="B26" s="35"/>
      <c r="C26" s="36" t="s">
        <v>86</v>
      </c>
      <c r="D26" s="31">
        <v>1</v>
      </c>
      <c r="E26" s="37"/>
      <c r="F26" s="37"/>
      <c r="G26" s="33"/>
      <c r="H26" s="31"/>
      <c r="I26" s="37" t="s">
        <v>384</v>
      </c>
    </row>
    <row r="27" spans="1:9" ht="33.75" customHeight="1">
      <c r="A27" s="34" t="s">
        <v>185</v>
      </c>
      <c r="B27" s="35"/>
      <c r="C27" s="36" t="s">
        <v>86</v>
      </c>
      <c r="D27" s="31">
        <v>1</v>
      </c>
      <c r="E27" s="37"/>
      <c r="F27" s="37"/>
      <c r="G27" s="33"/>
      <c r="H27" s="31"/>
      <c r="I27" s="37" t="s">
        <v>384</v>
      </c>
    </row>
    <row r="28" spans="1:9" ht="33.75" customHeight="1">
      <c r="A28" s="34" t="s">
        <v>188</v>
      </c>
      <c r="B28" s="35"/>
      <c r="C28" s="36" t="s">
        <v>86</v>
      </c>
      <c r="D28" s="31">
        <v>1</v>
      </c>
      <c r="E28" s="37"/>
      <c r="F28" s="37"/>
      <c r="G28" s="33"/>
      <c r="H28" s="31"/>
      <c r="I28" s="37" t="s">
        <v>384</v>
      </c>
    </row>
    <row r="29" spans="1:9" ht="33.75" customHeight="1">
      <c r="A29" s="34" t="s">
        <v>192</v>
      </c>
      <c r="B29" s="35"/>
      <c r="C29" s="36" t="s">
        <v>191</v>
      </c>
      <c r="D29" s="31">
        <v>1</v>
      </c>
      <c r="E29" s="37"/>
      <c r="F29" s="37"/>
      <c r="G29" s="33"/>
      <c r="H29" s="31"/>
      <c r="I29" s="37" t="s">
        <v>384</v>
      </c>
    </row>
    <row r="30" spans="1:9" ht="33.75" customHeight="1">
      <c r="A30" s="34" t="s">
        <v>240</v>
      </c>
      <c r="B30" s="35"/>
      <c r="C30" s="36" t="s">
        <v>191</v>
      </c>
      <c r="D30" s="31">
        <v>1</v>
      </c>
      <c r="E30" s="37"/>
      <c r="F30" s="37"/>
      <c r="G30" s="33"/>
      <c r="H30" s="31"/>
      <c r="I30" s="37" t="s">
        <v>384</v>
      </c>
    </row>
    <row r="31" spans="1:9" ht="33.75" customHeight="1">
      <c r="A31" s="34" t="s">
        <v>194</v>
      </c>
      <c r="B31" s="35"/>
      <c r="C31" s="36" t="s">
        <v>191</v>
      </c>
      <c r="D31" s="31">
        <v>1</v>
      </c>
      <c r="E31" s="37"/>
      <c r="F31" s="37"/>
      <c r="G31" s="33"/>
      <c r="H31" s="31"/>
      <c r="I31" s="37" t="s">
        <v>384</v>
      </c>
    </row>
    <row r="32" spans="1:9" ht="33.75" customHeight="1">
      <c r="A32" s="34" t="s">
        <v>242</v>
      </c>
      <c r="B32" s="35"/>
      <c r="C32" s="36" t="s">
        <v>191</v>
      </c>
      <c r="D32" s="31">
        <v>1</v>
      </c>
      <c r="E32" s="37"/>
      <c r="F32" s="37"/>
      <c r="G32" s="33"/>
      <c r="H32" s="31"/>
      <c r="I32" s="37" t="s">
        <v>384</v>
      </c>
    </row>
    <row r="33" spans="1:9" ht="33.75" customHeight="1">
      <c r="A33" s="28" t="s">
        <v>197</v>
      </c>
      <c r="B33" s="29" t="s">
        <v>104</v>
      </c>
      <c r="C33" s="30" t="s">
        <v>191</v>
      </c>
      <c r="D33" s="31">
        <v>1</v>
      </c>
      <c r="E33" s="37"/>
      <c r="F33" s="37"/>
      <c r="G33" s="33"/>
      <c r="H33" s="31"/>
      <c r="I33" s="37"/>
    </row>
    <row r="34" spans="1:9" ht="33.75" customHeight="1">
      <c r="A34" s="34" t="s">
        <v>199</v>
      </c>
      <c r="B34" s="35"/>
      <c r="C34" s="36" t="s">
        <v>191</v>
      </c>
      <c r="D34" s="31">
        <v>1</v>
      </c>
      <c r="E34" s="37"/>
      <c r="F34" s="37"/>
      <c r="G34" s="33"/>
      <c r="H34" s="31"/>
      <c r="I34" s="37" t="s">
        <v>384</v>
      </c>
    </row>
    <row r="35" spans="1:9" ht="33.75" customHeight="1">
      <c r="A35" s="34" t="s">
        <v>201</v>
      </c>
      <c r="B35" s="35"/>
      <c r="C35" s="36" t="s">
        <v>191</v>
      </c>
      <c r="D35" s="31">
        <v>1</v>
      </c>
      <c r="E35" s="37"/>
      <c r="F35" s="37"/>
      <c r="G35" s="33"/>
      <c r="H35" s="31"/>
      <c r="I35" s="37" t="s">
        <v>384</v>
      </c>
    </row>
    <row r="36" spans="1:9" ht="33.75" customHeight="1">
      <c r="A36" s="28" t="s">
        <v>204</v>
      </c>
      <c r="B36" s="29" t="s">
        <v>156</v>
      </c>
      <c r="C36" s="30" t="s">
        <v>191</v>
      </c>
      <c r="D36" s="31">
        <v>1</v>
      </c>
      <c r="E36" s="37"/>
      <c r="F36" s="37"/>
      <c r="G36" s="33"/>
      <c r="H36" s="31"/>
      <c r="I36" s="37"/>
    </row>
    <row r="37" spans="1:9" ht="33.75" customHeight="1">
      <c r="A37" s="34" t="s">
        <v>207</v>
      </c>
      <c r="B37" s="35"/>
      <c r="C37" s="36" t="s">
        <v>191</v>
      </c>
      <c r="D37" s="31">
        <v>1</v>
      </c>
      <c r="E37" s="37"/>
      <c r="F37" s="37"/>
      <c r="G37" s="33"/>
      <c r="H37" s="31"/>
      <c r="I37" s="37" t="s">
        <v>384</v>
      </c>
    </row>
    <row r="38" spans="1:9" ht="33.75" customHeight="1">
      <c r="A38" s="28" t="s">
        <v>209</v>
      </c>
      <c r="B38" s="29" t="s">
        <v>104</v>
      </c>
      <c r="C38" s="30" t="s">
        <v>191</v>
      </c>
      <c r="D38" s="31">
        <v>1</v>
      </c>
      <c r="E38" s="37"/>
      <c r="F38" s="37"/>
      <c r="G38" s="33"/>
      <c r="H38" s="31"/>
      <c r="I38" s="37"/>
    </row>
    <row r="39" spans="1:9" ht="33.75" customHeight="1">
      <c r="A39" s="34" t="s">
        <v>213</v>
      </c>
      <c r="B39" s="35"/>
      <c r="C39" s="36" t="s">
        <v>191</v>
      </c>
      <c r="D39" s="31">
        <v>1</v>
      </c>
      <c r="E39" s="37"/>
      <c r="F39" s="37"/>
      <c r="G39" s="33"/>
      <c r="H39" s="31"/>
      <c r="I39" s="37" t="s">
        <v>384</v>
      </c>
    </row>
    <row r="40" spans="1:9" ht="33.75" customHeight="1">
      <c r="A40" s="34" t="s">
        <v>215</v>
      </c>
      <c r="B40" s="35"/>
      <c r="C40" s="36" t="s">
        <v>191</v>
      </c>
      <c r="D40" s="31">
        <v>1</v>
      </c>
      <c r="E40" s="37"/>
      <c r="F40" s="37"/>
      <c r="G40" s="33"/>
      <c r="H40" s="31"/>
      <c r="I40" s="37" t="s">
        <v>384</v>
      </c>
    </row>
    <row r="41" spans="1:9" ht="33.75" customHeight="1">
      <c r="A41" s="28" t="s">
        <v>217</v>
      </c>
      <c r="B41" s="29" t="s">
        <v>391</v>
      </c>
      <c r="C41" s="30" t="s">
        <v>191</v>
      </c>
      <c r="D41" s="31">
        <v>1</v>
      </c>
      <c r="E41" s="37"/>
      <c r="F41" s="37"/>
      <c r="G41" s="33"/>
      <c r="H41" s="31"/>
      <c r="I41" s="37"/>
    </row>
    <row r="42" spans="1:9" ht="33.75" customHeight="1">
      <c r="A42" s="34" t="s">
        <v>220</v>
      </c>
      <c r="B42" s="35"/>
      <c r="C42" s="36" t="s">
        <v>191</v>
      </c>
      <c r="D42" s="31">
        <v>1</v>
      </c>
      <c r="E42" s="37"/>
      <c r="F42" s="37"/>
      <c r="G42" s="33"/>
      <c r="H42" s="31"/>
      <c r="I42" s="37" t="s">
        <v>384</v>
      </c>
    </row>
    <row r="43" spans="1:9" ht="33.75" customHeight="1">
      <c r="A43" s="34" t="s">
        <v>222</v>
      </c>
      <c r="B43" s="35"/>
      <c r="C43" s="36" t="s">
        <v>191</v>
      </c>
      <c r="D43" s="31">
        <v>1</v>
      </c>
      <c r="E43" s="37"/>
      <c r="F43" s="37"/>
      <c r="G43" s="33"/>
      <c r="H43" s="31"/>
      <c r="I43" s="37" t="s">
        <v>384</v>
      </c>
    </row>
    <row r="44" spans="1:9" ht="33.75" customHeight="1">
      <c r="A44" s="34" t="s">
        <v>224</v>
      </c>
      <c r="B44" s="35"/>
      <c r="C44" s="36" t="s">
        <v>191</v>
      </c>
      <c r="D44" s="31">
        <v>1</v>
      </c>
      <c r="E44" s="37"/>
      <c r="F44" s="37"/>
      <c r="G44" s="33"/>
      <c r="H44" s="31"/>
      <c r="I44" s="37" t="s">
        <v>384</v>
      </c>
    </row>
    <row r="45" spans="1:9" ht="33.75" customHeight="1">
      <c r="A45" s="34" t="s">
        <v>226</v>
      </c>
      <c r="B45" s="35"/>
      <c r="C45" s="36" t="s">
        <v>191</v>
      </c>
      <c r="D45" s="31">
        <v>1</v>
      </c>
      <c r="E45" s="37"/>
      <c r="F45" s="37"/>
      <c r="G45" s="33"/>
      <c r="H45" s="31"/>
      <c r="I45" s="37" t="s">
        <v>384</v>
      </c>
    </row>
    <row r="46" spans="1:9" ht="33.75" customHeight="1">
      <c r="A46" s="28" t="s">
        <v>228</v>
      </c>
      <c r="B46" s="29" t="s">
        <v>392</v>
      </c>
      <c r="C46" s="30" t="s">
        <v>191</v>
      </c>
      <c r="D46" s="31">
        <v>1</v>
      </c>
      <c r="E46" s="37"/>
      <c r="F46" s="37"/>
      <c r="G46" s="33"/>
      <c r="H46" s="31"/>
      <c r="I46" s="37"/>
    </row>
    <row r="47" spans="1:9" ht="33.75" customHeight="1">
      <c r="A47" s="34" t="s">
        <v>232</v>
      </c>
      <c r="B47" s="35"/>
      <c r="C47" s="36" t="s">
        <v>191</v>
      </c>
      <c r="D47" s="31">
        <v>1</v>
      </c>
      <c r="E47" s="37"/>
      <c r="F47" s="37"/>
      <c r="G47" s="33"/>
      <c r="H47" s="31"/>
      <c r="I47" s="37" t="s">
        <v>384</v>
      </c>
    </row>
    <row r="48" spans="1:9" ht="33.75" customHeight="1">
      <c r="A48" s="34" t="s">
        <v>234</v>
      </c>
      <c r="B48" s="35"/>
      <c r="C48" s="36" t="s">
        <v>191</v>
      </c>
      <c r="D48" s="31">
        <v>1</v>
      </c>
      <c r="E48" s="37"/>
      <c r="F48" s="37"/>
      <c r="G48" s="33"/>
      <c r="H48" s="31"/>
      <c r="I48" s="37" t="s">
        <v>384</v>
      </c>
    </row>
    <row r="49" spans="1:9" ht="33.75" customHeight="1">
      <c r="A49" s="34" t="s">
        <v>236</v>
      </c>
      <c r="B49" s="35"/>
      <c r="C49" s="36" t="s">
        <v>191</v>
      </c>
      <c r="D49" s="31">
        <v>1</v>
      </c>
      <c r="E49" s="37"/>
      <c r="F49" s="37"/>
      <c r="G49" s="33"/>
      <c r="H49" s="31"/>
      <c r="I49" s="37" t="s">
        <v>384</v>
      </c>
    </row>
    <row r="50" spans="1:9" ht="33.75" customHeight="1">
      <c r="A50" s="34" t="s">
        <v>238</v>
      </c>
      <c r="B50" s="35"/>
      <c r="C50" s="36" t="s">
        <v>191</v>
      </c>
      <c r="D50" s="31">
        <v>1</v>
      </c>
      <c r="E50" s="37"/>
      <c r="F50" s="37"/>
      <c r="G50" s="33"/>
      <c r="H50" s="31"/>
      <c r="I50" s="37" t="s">
        <v>384</v>
      </c>
    </row>
    <row r="51" spans="1:9" ht="33.75" customHeight="1">
      <c r="A51" s="28" t="s">
        <v>245</v>
      </c>
      <c r="B51" s="29" t="s">
        <v>393</v>
      </c>
      <c r="C51" s="30" t="s">
        <v>244</v>
      </c>
      <c r="D51" s="31">
        <v>1</v>
      </c>
      <c r="E51" s="37"/>
      <c r="F51" s="37"/>
      <c r="G51" s="33"/>
      <c r="H51" s="31"/>
      <c r="I51" s="37"/>
    </row>
    <row r="52" spans="1:9" ht="33.75" customHeight="1">
      <c r="A52" s="34" t="s">
        <v>249</v>
      </c>
      <c r="B52" s="35"/>
      <c r="C52" s="36" t="s">
        <v>244</v>
      </c>
      <c r="D52" s="31">
        <v>1</v>
      </c>
      <c r="E52" s="37"/>
      <c r="F52" s="37"/>
      <c r="G52" s="33"/>
      <c r="H52" s="31"/>
      <c r="I52" s="37" t="s">
        <v>384</v>
      </c>
    </row>
    <row r="53" spans="1:9" ht="33.75" customHeight="1">
      <c r="A53" s="34" t="s">
        <v>252</v>
      </c>
      <c r="B53" s="35"/>
      <c r="C53" s="36" t="s">
        <v>244</v>
      </c>
      <c r="D53" s="31">
        <v>1</v>
      </c>
      <c r="E53" s="37"/>
      <c r="F53" s="37"/>
      <c r="G53" s="33"/>
      <c r="H53" s="31"/>
      <c r="I53" s="37" t="s">
        <v>384</v>
      </c>
    </row>
    <row r="54" spans="1:9" ht="33.75" customHeight="1">
      <c r="A54" s="28" t="s">
        <v>254</v>
      </c>
      <c r="B54" s="29" t="s">
        <v>394</v>
      </c>
      <c r="C54" s="30" t="s">
        <v>244</v>
      </c>
      <c r="D54" s="31">
        <v>1</v>
      </c>
      <c r="E54" s="37"/>
      <c r="F54" s="37"/>
      <c r="G54" s="33"/>
      <c r="H54" s="31"/>
      <c r="I54" s="37"/>
    </row>
    <row r="55" spans="1:9" ht="33.75" customHeight="1">
      <c r="A55" s="28" t="s">
        <v>257</v>
      </c>
      <c r="B55" s="29" t="s">
        <v>391</v>
      </c>
      <c r="C55" s="30" t="s">
        <v>244</v>
      </c>
      <c r="D55" s="31">
        <v>1</v>
      </c>
      <c r="E55" s="37"/>
      <c r="F55" s="37"/>
      <c r="G55" s="33"/>
      <c r="H55" s="31"/>
      <c r="I55" s="37"/>
    </row>
    <row r="56" spans="1:9" ht="33.75" customHeight="1">
      <c r="A56" s="28" t="s">
        <v>259</v>
      </c>
      <c r="B56" s="29" t="s">
        <v>395</v>
      </c>
      <c r="C56" s="30" t="s">
        <v>244</v>
      </c>
      <c r="D56" s="31">
        <v>1</v>
      </c>
      <c r="E56" s="37"/>
      <c r="F56" s="37"/>
      <c r="G56" s="33"/>
      <c r="H56" s="31"/>
      <c r="I56" s="37"/>
    </row>
    <row r="57" spans="1:9" ht="33.75" customHeight="1">
      <c r="A57" s="28" t="s">
        <v>263</v>
      </c>
      <c r="B57" s="29" t="s">
        <v>396</v>
      </c>
      <c r="C57" s="30" t="s">
        <v>244</v>
      </c>
      <c r="D57" s="31">
        <v>1</v>
      </c>
      <c r="E57" s="37"/>
      <c r="F57" s="37"/>
      <c r="G57" s="33"/>
      <c r="H57" s="31"/>
      <c r="I57" s="37"/>
    </row>
    <row r="58" spans="1:9" ht="33.75" customHeight="1">
      <c r="A58" s="28" t="s">
        <v>266</v>
      </c>
      <c r="B58" s="38" t="s">
        <v>397</v>
      </c>
      <c r="C58" s="30" t="s">
        <v>244</v>
      </c>
      <c r="D58" s="31">
        <v>1</v>
      </c>
      <c r="E58" s="37"/>
      <c r="F58" s="37"/>
      <c r="G58" s="33"/>
      <c r="H58" s="31"/>
      <c r="I58" s="37"/>
    </row>
    <row r="59" spans="1:9" ht="33.75" customHeight="1">
      <c r="A59" s="28" t="s">
        <v>269</v>
      </c>
      <c r="B59" s="29" t="s">
        <v>398</v>
      </c>
      <c r="C59" s="30" t="s">
        <v>244</v>
      </c>
      <c r="D59" s="31">
        <v>1</v>
      </c>
      <c r="E59" s="37"/>
      <c r="F59" s="37"/>
      <c r="G59" s="33"/>
      <c r="H59" s="31"/>
      <c r="I59" s="37"/>
    </row>
    <row r="60" spans="1:9" ht="33.75" customHeight="1">
      <c r="A60" s="28" t="s">
        <v>272</v>
      </c>
      <c r="B60" s="29" t="s">
        <v>391</v>
      </c>
      <c r="C60" s="30" t="s">
        <v>244</v>
      </c>
      <c r="D60" s="31">
        <v>1</v>
      </c>
      <c r="E60" s="37"/>
      <c r="F60" s="37"/>
      <c r="G60" s="33"/>
      <c r="H60" s="31"/>
      <c r="I60" s="37"/>
    </row>
    <row r="61" spans="1:9" ht="33.75" customHeight="1">
      <c r="A61" s="28" t="s">
        <v>275</v>
      </c>
      <c r="B61" s="29" t="s">
        <v>399</v>
      </c>
      <c r="C61" s="30" t="s">
        <v>244</v>
      </c>
      <c r="D61" s="31">
        <v>1</v>
      </c>
      <c r="E61" s="37"/>
      <c r="F61" s="37"/>
      <c r="G61" s="33"/>
      <c r="H61" s="31"/>
      <c r="I61" s="37"/>
    </row>
    <row r="62" spans="1:9" ht="33.75" customHeight="1">
      <c r="A62" s="28" t="s">
        <v>279</v>
      </c>
      <c r="B62" s="29" t="s">
        <v>280</v>
      </c>
      <c r="C62" s="30" t="s">
        <v>244</v>
      </c>
      <c r="D62" s="31">
        <v>1</v>
      </c>
      <c r="E62" s="37"/>
      <c r="F62" s="37"/>
      <c r="G62" s="33"/>
      <c r="H62" s="31"/>
      <c r="I62" s="37"/>
    </row>
    <row r="63" spans="1:9" ht="33.75" customHeight="1">
      <c r="A63" s="28" t="s">
        <v>282</v>
      </c>
      <c r="B63" s="38" t="s">
        <v>400</v>
      </c>
      <c r="C63" s="30" t="s">
        <v>244</v>
      </c>
      <c r="D63" s="31">
        <v>1</v>
      </c>
      <c r="E63" s="37"/>
      <c r="F63" s="37"/>
      <c r="G63" s="33"/>
      <c r="H63" s="31"/>
      <c r="I63" s="37"/>
    </row>
    <row r="64" spans="1:9" ht="33.75" customHeight="1">
      <c r="A64" s="28" t="s">
        <v>286</v>
      </c>
      <c r="B64" s="29" t="s">
        <v>401</v>
      </c>
      <c r="C64" s="30" t="s">
        <v>244</v>
      </c>
      <c r="D64" s="31">
        <v>1</v>
      </c>
      <c r="E64" s="37"/>
      <c r="F64" s="37"/>
      <c r="G64" s="33"/>
      <c r="H64" s="31"/>
      <c r="I64" s="37"/>
    </row>
    <row r="65" spans="1:9" ht="33.75" customHeight="1">
      <c r="A65" s="28" t="s">
        <v>289</v>
      </c>
      <c r="B65" s="29" t="s">
        <v>392</v>
      </c>
      <c r="C65" s="30" t="s">
        <v>244</v>
      </c>
      <c r="D65" s="31">
        <v>1</v>
      </c>
      <c r="E65" s="37"/>
      <c r="F65" s="37"/>
      <c r="G65" s="33"/>
      <c r="H65" s="31"/>
      <c r="I65" s="37"/>
    </row>
    <row r="66" spans="1:9" ht="33.75" customHeight="1">
      <c r="A66" s="28" t="s">
        <v>292</v>
      </c>
      <c r="B66" s="29" t="s">
        <v>402</v>
      </c>
      <c r="C66" s="30" t="s">
        <v>244</v>
      </c>
      <c r="D66" s="31">
        <v>1</v>
      </c>
      <c r="E66" s="37"/>
      <c r="F66" s="37"/>
      <c r="G66" s="33"/>
      <c r="H66" s="31"/>
      <c r="I66" s="37"/>
    </row>
    <row r="67" spans="1:9" ht="33.75" customHeight="1">
      <c r="A67" s="28" t="s">
        <v>298</v>
      </c>
      <c r="B67" s="29" t="s">
        <v>299</v>
      </c>
      <c r="C67" s="30" t="s">
        <v>244</v>
      </c>
      <c r="D67" s="31">
        <v>1</v>
      </c>
      <c r="E67" s="37"/>
      <c r="F67" s="37"/>
      <c r="G67" s="33"/>
      <c r="H67" s="31"/>
      <c r="I67" s="37"/>
    </row>
    <row r="68" spans="1:9" ht="33.75" customHeight="1">
      <c r="A68" s="28" t="s">
        <v>302</v>
      </c>
      <c r="B68" s="38" t="s">
        <v>403</v>
      </c>
      <c r="C68" s="30" t="s">
        <v>244</v>
      </c>
      <c r="D68" s="31">
        <v>1</v>
      </c>
      <c r="E68" s="37"/>
      <c r="F68" s="37"/>
      <c r="G68" s="33"/>
      <c r="H68" s="31"/>
      <c r="I68" s="37"/>
    </row>
    <row r="69" spans="1:9" ht="33.75" customHeight="1">
      <c r="A69" s="28" t="s">
        <v>306</v>
      </c>
      <c r="B69" s="29" t="s">
        <v>404</v>
      </c>
      <c r="C69" s="30" t="s">
        <v>244</v>
      </c>
      <c r="D69" s="31">
        <v>1</v>
      </c>
      <c r="E69" s="37"/>
      <c r="F69" s="37"/>
      <c r="G69" s="33"/>
      <c r="H69" s="31"/>
      <c r="I69" s="37"/>
    </row>
    <row r="70" spans="1:9" ht="33.75" customHeight="1">
      <c r="A70" s="34" t="s">
        <v>310</v>
      </c>
      <c r="B70" s="35"/>
      <c r="C70" s="36" t="s">
        <v>244</v>
      </c>
      <c r="D70" s="31">
        <v>1</v>
      </c>
      <c r="E70" s="37"/>
      <c r="F70" s="37"/>
      <c r="G70" s="33"/>
      <c r="H70" s="31"/>
      <c r="I70" s="37" t="s">
        <v>384</v>
      </c>
    </row>
    <row r="71" spans="1:9" ht="33.75" customHeight="1">
      <c r="A71" s="34" t="s">
        <v>313</v>
      </c>
      <c r="B71" s="35"/>
      <c r="C71" s="36" t="s">
        <v>244</v>
      </c>
      <c r="D71" s="31">
        <v>1</v>
      </c>
      <c r="E71" s="37"/>
      <c r="F71" s="37"/>
      <c r="G71" s="33"/>
      <c r="H71" s="31"/>
      <c r="I71" s="37" t="s">
        <v>384</v>
      </c>
    </row>
    <row r="72" spans="1:9" ht="33.75" customHeight="1">
      <c r="A72" s="34" t="s">
        <v>315</v>
      </c>
      <c r="B72" s="35"/>
      <c r="C72" s="36" t="s">
        <v>244</v>
      </c>
      <c r="D72" s="31">
        <v>1</v>
      </c>
      <c r="E72" s="37"/>
      <c r="F72" s="37"/>
      <c r="G72" s="33"/>
      <c r="H72" s="31"/>
      <c r="I72" s="37" t="s">
        <v>384</v>
      </c>
    </row>
    <row r="73" spans="1:9" ht="33.75" customHeight="1">
      <c r="A73" s="34" t="s">
        <v>317</v>
      </c>
      <c r="B73" s="35"/>
      <c r="C73" s="36" t="s">
        <v>244</v>
      </c>
      <c r="D73" s="31">
        <v>1</v>
      </c>
      <c r="E73" s="37"/>
      <c r="F73" s="37"/>
      <c r="G73" s="33"/>
      <c r="H73" s="31"/>
      <c r="I73" s="37" t="s">
        <v>384</v>
      </c>
    </row>
    <row r="74" spans="1:9" ht="33.75" customHeight="1">
      <c r="A74" s="28" t="s">
        <v>320</v>
      </c>
      <c r="B74" s="29" t="s">
        <v>156</v>
      </c>
      <c r="C74" s="30" t="s">
        <v>319</v>
      </c>
      <c r="D74" s="31">
        <v>1</v>
      </c>
      <c r="E74" s="37"/>
      <c r="F74" s="37"/>
      <c r="G74" s="33"/>
      <c r="H74" s="31"/>
      <c r="I74" s="37"/>
    </row>
    <row r="75" spans="1:9" ht="33.75" customHeight="1">
      <c r="A75" s="34" t="s">
        <v>321</v>
      </c>
      <c r="B75" s="35"/>
      <c r="C75" s="36" t="s">
        <v>319</v>
      </c>
      <c r="D75" s="31">
        <v>1</v>
      </c>
      <c r="E75" s="37"/>
      <c r="F75" s="37"/>
      <c r="G75" s="33"/>
      <c r="H75" s="31"/>
      <c r="I75" s="37" t="s">
        <v>384</v>
      </c>
    </row>
    <row r="76" spans="1:9" ht="33.75" customHeight="1">
      <c r="A76" s="28" t="s">
        <v>322</v>
      </c>
      <c r="B76" s="29" t="s">
        <v>394</v>
      </c>
      <c r="C76" s="30" t="s">
        <v>319</v>
      </c>
      <c r="D76" s="31">
        <v>1</v>
      </c>
      <c r="E76" s="37"/>
      <c r="F76" s="37"/>
      <c r="G76" s="33"/>
      <c r="H76" s="31"/>
      <c r="I76" s="37"/>
    </row>
    <row r="77" spans="1:9" ht="33.75" customHeight="1">
      <c r="A77" s="34" t="s">
        <v>323</v>
      </c>
      <c r="B77" s="35"/>
      <c r="C77" s="36" t="s">
        <v>319</v>
      </c>
      <c r="D77" s="31">
        <v>1</v>
      </c>
      <c r="E77" s="37"/>
      <c r="F77" s="37"/>
      <c r="G77" s="33"/>
      <c r="H77" s="31"/>
      <c r="I77" s="37" t="s">
        <v>384</v>
      </c>
    </row>
    <row r="78" spans="1:9" ht="33.75" customHeight="1">
      <c r="A78" s="34" t="s">
        <v>324</v>
      </c>
      <c r="B78" s="35"/>
      <c r="C78" s="36" t="s">
        <v>319</v>
      </c>
      <c r="D78" s="31">
        <v>1</v>
      </c>
      <c r="E78" s="37"/>
      <c r="F78" s="37"/>
      <c r="G78" s="33"/>
      <c r="H78" s="31"/>
      <c r="I78" s="37" t="s">
        <v>384</v>
      </c>
    </row>
    <row r="79" spans="1:9" ht="33.75" customHeight="1">
      <c r="A79" s="28" t="s">
        <v>325</v>
      </c>
      <c r="B79" s="29" t="s">
        <v>391</v>
      </c>
      <c r="C79" s="30" t="s">
        <v>319</v>
      </c>
      <c r="D79" s="31">
        <v>1</v>
      </c>
      <c r="E79" s="37"/>
      <c r="F79" s="37"/>
      <c r="G79" s="33"/>
      <c r="H79" s="31"/>
      <c r="I79" s="37"/>
    </row>
    <row r="80" spans="1:9" ht="33.75" customHeight="1">
      <c r="A80" s="34" t="s">
        <v>326</v>
      </c>
      <c r="B80" s="35"/>
      <c r="C80" s="36" t="s">
        <v>319</v>
      </c>
      <c r="D80" s="31">
        <v>1</v>
      </c>
      <c r="E80" s="37"/>
      <c r="F80" s="37"/>
      <c r="G80" s="33"/>
      <c r="H80" s="31"/>
      <c r="I80" s="37" t="s">
        <v>384</v>
      </c>
    </row>
    <row r="81" spans="1:9" ht="33.75" customHeight="1">
      <c r="A81" s="28" t="s">
        <v>327</v>
      </c>
      <c r="B81" s="29" t="s">
        <v>398</v>
      </c>
      <c r="C81" s="30" t="s">
        <v>319</v>
      </c>
      <c r="D81" s="31">
        <v>1</v>
      </c>
      <c r="E81" s="37"/>
      <c r="F81" s="37"/>
      <c r="G81" s="33"/>
      <c r="H81" s="31"/>
      <c r="I81" s="37"/>
    </row>
    <row r="82" spans="1:9" ht="33.75" customHeight="1">
      <c r="A82" s="34" t="s">
        <v>328</v>
      </c>
      <c r="B82" s="35"/>
      <c r="C82" s="36" t="s">
        <v>319</v>
      </c>
      <c r="D82" s="31">
        <v>1</v>
      </c>
      <c r="E82" s="37"/>
      <c r="F82" s="37"/>
      <c r="G82" s="33"/>
      <c r="H82" s="31"/>
      <c r="I82" s="37" t="s">
        <v>384</v>
      </c>
    </row>
    <row r="83" spans="1:9" ht="33.75" customHeight="1">
      <c r="A83" s="34" t="s">
        <v>329</v>
      </c>
      <c r="B83" s="35"/>
      <c r="C83" s="36" t="s">
        <v>319</v>
      </c>
      <c r="D83" s="31">
        <v>1</v>
      </c>
      <c r="E83" s="37"/>
      <c r="F83" s="37"/>
      <c r="G83" s="33"/>
      <c r="H83" s="31"/>
      <c r="I83" s="37" t="s">
        <v>384</v>
      </c>
    </row>
    <row r="84" spans="1:9" ht="33.75" customHeight="1">
      <c r="A84" s="34" t="s">
        <v>330</v>
      </c>
      <c r="B84" s="35"/>
      <c r="C84" s="36" t="s">
        <v>319</v>
      </c>
      <c r="D84" s="31">
        <v>1</v>
      </c>
      <c r="E84" s="37"/>
      <c r="F84" s="37"/>
      <c r="G84" s="33"/>
      <c r="H84" s="31"/>
      <c r="I84" s="37" t="s">
        <v>384</v>
      </c>
    </row>
    <row r="85" spans="1:9" ht="33.75" customHeight="1">
      <c r="A85" s="34" t="s">
        <v>331</v>
      </c>
      <c r="B85" s="35"/>
      <c r="C85" s="36" t="s">
        <v>319</v>
      </c>
      <c r="D85" s="31">
        <v>1</v>
      </c>
      <c r="E85" s="37"/>
      <c r="F85" s="37"/>
      <c r="G85" s="33"/>
      <c r="H85" s="31"/>
      <c r="I85" s="37" t="s">
        <v>384</v>
      </c>
    </row>
    <row r="86" spans="1:9" ht="33.75" customHeight="1">
      <c r="A86" s="34" t="s">
        <v>332</v>
      </c>
      <c r="B86" s="35"/>
      <c r="C86" s="36" t="s">
        <v>319</v>
      </c>
      <c r="D86" s="31">
        <v>1</v>
      </c>
      <c r="E86" s="37"/>
      <c r="F86" s="37"/>
      <c r="G86" s="33"/>
      <c r="H86" s="31"/>
      <c r="I86" s="37" t="s">
        <v>384</v>
      </c>
    </row>
    <row r="87" spans="1:9" ht="33.75" customHeight="1">
      <c r="A87" s="34" t="s">
        <v>333</v>
      </c>
      <c r="B87" s="35"/>
      <c r="C87" s="36" t="s">
        <v>319</v>
      </c>
      <c r="D87" s="31">
        <v>1</v>
      </c>
      <c r="E87" s="37"/>
      <c r="F87" s="37"/>
      <c r="G87" s="33"/>
      <c r="H87" s="31"/>
      <c r="I87" s="37" t="s">
        <v>384</v>
      </c>
    </row>
    <row r="88" spans="1:9" ht="33.75" customHeight="1">
      <c r="A88" s="34" t="s">
        <v>334</v>
      </c>
      <c r="B88" s="35"/>
      <c r="C88" s="36" t="s">
        <v>319</v>
      </c>
      <c r="D88" s="31">
        <v>1</v>
      </c>
      <c r="E88" s="37"/>
      <c r="F88" s="37"/>
      <c r="G88" s="33"/>
      <c r="H88" s="31"/>
      <c r="I88" s="37" t="s">
        <v>384</v>
      </c>
    </row>
  </sheetData>
  <mergeCells count="1">
    <mergeCell ref="A1:I1"/>
  </mergeCells>
  <phoneticPr fontId="18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작성가이드</vt:lpstr>
      <vt:lpstr>스킬트리</vt:lpstr>
      <vt:lpstr>계열정의</vt:lpstr>
      <vt:lpstr>참조_훈련목록</vt:lpstr>
      <vt:lpstr>참조_스케일목록</vt:lpstr>
      <vt:lpstr>훈련내용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Kim Donghyun</cp:lastModifiedBy>
  <cp:revision>0</cp:revision>
  <dcterms:created xsi:type="dcterms:W3CDTF">2026-08-15T11:03:28Z</dcterms:created>
  <dcterms:modified xsi:type="dcterms:W3CDTF">2026-08-31T10:18:34Z</dcterms:modified>
  <dc:language>en-US</dc:language>
</cp:coreProperties>
</file>